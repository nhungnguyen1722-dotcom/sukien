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Phân bổ Ngân sách" sheetId="1" r:id="rId5"/>
    <sheet state="visible" name="2. Danh sách Thành viên" sheetId="2" r:id="rId6"/>
    <sheet state="visible" name="3. Nhật ký Sự kiện" sheetId="3" r:id="rId7"/>
    <sheet state="visible" name="4. Chi tiết Sự kiện" sheetId="4" r:id="rId8"/>
    <sheet state="visible" name="5. Nhật ký Hợp đồng" sheetId="5" r:id="rId9"/>
    <sheet state="visible" name="6. Nhật ký Thu chi" sheetId="6" r:id="rId10"/>
    <sheet state="visible" name="7. Nhật ký Đào tạo" sheetId="7" r:id="rId11"/>
  </sheets>
  <definedNames/>
  <calcPr/>
</workbook>
</file>

<file path=xl/sharedStrings.xml><?xml version="1.0" encoding="utf-8"?>
<sst xmlns="http://schemas.openxmlformats.org/spreadsheetml/2006/main" count="1081" uniqueCount="454">
  <si>
    <t>MÔ HÌNH PHÂN BỔ NGÂN SÁCH HOẠT ĐỘNG - NGUỒN VỐN NGHIÊNG COMPLEX</t>
  </si>
  <si>
    <t>NHẬT KÝ QUẢN LÝ SỰ KIỆN &amp; CHI PHÍ</t>
  </si>
  <si>
    <t>DANH SÁCH THÀNH VIÊN VÀ KIỂM TRA ĐIỀU KIỆN CHỨC DANH CHI TIẾT (ẢNH I)</t>
  </si>
  <si>
    <t>BẢNG THEO DÕI TOÀN BỘ NGƯỜI THAM GIA, PHÂN VAI &amp; CHI PHÍ TIỆC TRÀ</t>
  </si>
  <si>
    <t>Từ ngày:</t>
  </si>
  <si>
    <t>Mã Sự kiện</t>
  </si>
  <si>
    <t>Ngày tổ chức</t>
  </si>
  <si>
    <t>Mã TV (SĐT)</t>
  </si>
  <si>
    <t>1. GIẢ ĐỊNH CHUNG (INPUT CÓ THỂ THAY ĐỔI)</t>
  </si>
  <si>
    <t>Tên Sự kiện / Tiệc trà</t>
  </si>
  <si>
    <t>Họ Tên</t>
  </si>
  <si>
    <t>Vai trò tham gia</t>
  </si>
  <si>
    <t>Địa điểm</t>
  </si>
  <si>
    <t>Người mời (Mã TV)</t>
  </si>
  <si>
    <t>Họ tên Người mời</t>
  </si>
  <si>
    <t>Tổng người tham gia</t>
  </si>
  <si>
    <t>Đăng ký ăn tiệc trà? (Có/Không)</t>
  </si>
  <si>
    <t>Số lượng Khách mời tham gia</t>
  </si>
  <si>
    <t>Lần làm Khách mời (Lũy kế)</t>
  </si>
  <si>
    <t>Số lượng Khách mời tham gia đăng ký ăn trà</t>
  </si>
  <si>
    <t>Duyệt Công ty hỗ trợ? (Nếu &gt; 5 lần)</t>
  </si>
  <si>
    <t>Công ty Hỗ trợ tiệc trà (VND)</t>
  </si>
  <si>
    <t>Số lượng Khách mời không ăn</t>
  </si>
  <si>
    <t>3. CƠ CHẾ PHÂN BỔ QUỸ LEADER TEAM</t>
  </si>
  <si>
    <t>Khách tự đóng tiệc trà (VND)</t>
  </si>
  <si>
    <t>Tổng thù lao nhân sự (VND)</t>
  </si>
  <si>
    <t>Thù lao Sự kiện (VND)</t>
  </si>
  <si>
    <t>Tổng Chi phí Tiệc trà (Cty)</t>
  </si>
  <si>
    <t>Tổng chi phí Sự kiện (VND)</t>
  </si>
  <si>
    <t>Trạng thái</t>
  </si>
  <si>
    <t>ST001</t>
  </si>
  <si>
    <t>Doanh thu Hợp đồng giả định (Doanh số hệ thống):</t>
  </si>
  <si>
    <t>Đến ngày:</t>
  </si>
  <si>
    <t>0912345671</t>
  </si>
  <si>
    <t>Nguyễn Văn Hoàng</t>
  </si>
  <si>
    <t>Sự kiện Đại hội ra quân</t>
  </si>
  <si>
    <t>MC</t>
  </si>
  <si>
    <t>P. Đại Mỗ</t>
  </si>
  <si>
    <t>Họ và Tên</t>
  </si>
  <si>
    <t>Số điện thoại</t>
  </si>
  <si>
    <t>Căn cước (CCCD)</t>
  </si>
  <si>
    <t>Số TK</t>
  </si>
  <si>
    <t>Ngân hàng</t>
  </si>
  <si>
    <t>Email</t>
  </si>
  <si>
    <t>Người giới thiệu (Mã TV)</t>
  </si>
  <si>
    <t>Họ tên Người giới thiệu</t>
  </si>
  <si>
    <t>Chức danh Đăng ký</t>
  </si>
  <si>
    <t>Tỷ lệ Ngân sách Hoạt động thực tế:</t>
  </si>
  <si>
    <t>Nhóm/Team</t>
  </si>
  <si>
    <t>Sĩ số Nhóm (COUNTIF)</t>
  </si>
  <si>
    <t>Số Thành viên (Nhóm)</t>
  </si>
  <si>
    <t>Số Trưởng phòng (Nhóm)</t>
  </si>
  <si>
    <t>Số Phó GD (Nhóm)</t>
  </si>
  <si>
    <t>Chức danh</t>
  </si>
  <si>
    <t>Số buổi vắng (Liên tiếp)</t>
  </si>
  <si>
    <t>Có</t>
  </si>
  <si>
    <t>HĐ cá nhân (3 tháng qua)</t>
  </si>
  <si>
    <t>HĐ nhóm (Tháng này)</t>
  </si>
  <si>
    <t>Số lần làm Khách</t>
  </si>
  <si>
    <t>Số lần đi mời</t>
  </si>
  <si>
    <t>Quỹ Leader Team khả dụng:</t>
  </si>
  <si>
    <t>Số lượng khách mời tham gia</t>
  </si>
  <si>
    <t>Tiền Tiệc trà tự đóng (VND)</t>
  </si>
  <si>
    <t>Tổng Thù lao Sự kiện (VND)</t>
  </si>
  <si>
    <t>Tổng Thù lao Hợp đồng (VND)</t>
  </si>
  <si>
    <t>Tổng Thù lao Đào tạo (VND)</t>
  </si>
  <si>
    <t>Thực nhận Cuối kỳ (VND)</t>
  </si>
  <si>
    <t>001096001234</t>
  </si>
  <si>
    <t>1903456789</t>
  </si>
  <si>
    <t>Techcombank</t>
  </si>
  <si>
    <t>hoang.nv@vov.vn</t>
  </si>
  <si>
    <t>Công ty</t>
  </si>
  <si>
    <t>Giám đốc</t>
  </si>
  <si>
    <t>Lửa Xanh</t>
  </si>
  <si>
    <t>Tổng Ngân sách Hoạt động:</t>
  </si>
  <si>
    <t>Phần Chia đều (30%):</t>
  </si>
  <si>
    <t>Không</t>
  </si>
  <si>
    <t>Phần Hiệu quả (70%):</t>
  </si>
  <si>
    <t>2. ĐỊNH MỨC PHÂN BỔ CHI TIẾT CÁC QUỸ VÀ BỘ PHẬN</t>
  </si>
  <si>
    <t>Tên Quỹ / Khấu Phần bổ</t>
  </si>
  <si>
    <t>Tỷ lệ phân bổ (%)</t>
  </si>
  <si>
    <t>Tỷ lệ trên Doanh thu (%)</t>
  </si>
  <si>
    <t>Số tiền phân bổ (VND)</t>
  </si>
  <si>
    <t>Trích nạp thêm từ HĐ (VND)</t>
  </si>
  <si>
    <t>Tổng ngân sách sau cộng (VND)</t>
  </si>
  <si>
    <t>Đã thực chi thực tế (VND)</t>
  </si>
  <si>
    <t>Số dư Khả dụng còn lại (VND)</t>
  </si>
  <si>
    <t>BẢNG PHÂN PHỐI QUỸ THEO CHỨC DANH</t>
  </si>
  <si>
    <t>Sale trực tiếp - Pro sale (Nguồn khách)</t>
  </si>
  <si>
    <t>Đã hoàn thành</t>
  </si>
  <si>
    <t>ST002</t>
  </si>
  <si>
    <t>Sự kiện Vĩnh Phúc kết nối</t>
  </si>
  <si>
    <t>Vĩnh Phúc</t>
  </si>
  <si>
    <t>Tỷ lệ %</t>
  </si>
  <si>
    <t>Số lượng</t>
  </si>
  <si>
    <t>Thực nhận
/ người</t>
  </si>
  <si>
    <t>Điều kiện duy trì tháng cấp</t>
  </si>
  <si>
    <t>Tri ân kết nối sale trực tiếp</t>
  </si>
  <si>
    <t>0912345672</t>
  </si>
  <si>
    <t>Lê Minh Anh</t>
  </si>
  <si>
    <t>ST003</t>
  </si>
  <si>
    <t>Hội nghị khách hàng Hà Đông</t>
  </si>
  <si>
    <t>Hà Đông</t>
  </si>
  <si>
    <t>0912345673</t>
  </si>
  <si>
    <t>Trần Thị Vân</t>
  </si>
  <si>
    <t>Thuyết trình</t>
  </si>
  <si>
    <t>Tối thiểu 1 PGD &amp; duy trì 20 thành viên trong team</t>
  </si>
  <si>
    <t>Tri ân hỗ trợ sale</t>
  </si>
  <si>
    <t>0912345674</t>
  </si>
  <si>
    <t>Bùi Minh Đức</t>
  </si>
  <si>
    <t>Phụng sự</t>
  </si>
  <si>
    <t>ST004</t>
  </si>
  <si>
    <t>Tiệc trà định kỳ</t>
  </si>
  <si>
    <t>0912345675</t>
  </si>
  <si>
    <t>Ngô Thanh Hải</t>
  </si>
  <si>
    <t>Phó Giám đốc</t>
  </si>
  <si>
    <t>Tối thiểu 1 Trưởng phòng &amp; duy trì 10 thành viên</t>
  </si>
  <si>
    <t>Quỹ Sự kiện &amp; Chốt hợp đồng</t>
  </si>
  <si>
    <t>0987654321</t>
  </si>
  <si>
    <t>Khách mời Chu Văn Hội</t>
  </si>
  <si>
    <t>Khách mời</t>
  </si>
  <si>
    <t>Trưởng phòng</t>
  </si>
  <si>
    <t>Duy trì tối thiểu 5 thành viên trong nhóm</t>
  </si>
  <si>
    <t>0987654322</t>
  </si>
  <si>
    <t>Khách mời Nguyễn Thị Kim</t>
  </si>
  <si>
    <t>Quỹ Chăm sóc khách hàng</t>
  </si>
  <si>
    <t>Chờ duyệt</t>
  </si>
  <si>
    <t>ST005</t>
  </si>
  <si>
    <t>Quỹ Đào tạo Chuyên môn &amp; Kỹ năng</t>
  </si>
  <si>
    <t>0987654323</t>
  </si>
  <si>
    <t>Khách mời Phùng sự Nhóm</t>
  </si>
  <si>
    <t>Chốt sự kiện</t>
  </si>
  <si>
    <t>ST006</t>
  </si>
  <si>
    <t>ĐIỀU KIỆN DUY TRÌ VÀ THAM GIA ĂN CHIA QUỸ LEADER TEAM</t>
  </si>
  <si>
    <t>Quỹ Thi đua &amp; Chương trình thúc đẩy</t>
  </si>
  <si>
    <t>- Tuyển dụng tối thiểu 3 tháng / ProSale hoạt động thực tế</t>
  </si>
  <si>
    <t>Chi phí Công tác phí</t>
  </si>
  <si>
    <t>ST007</t>
  </si>
  <si>
    <t>- Không nghỉ họp liên tiếp 2 buổi / tháng (Dù có đủ doanh số)</t>
  </si>
  <si>
    <t>Quỹ Vận hành &amp; Bộ phận hỗ trợ</t>
  </si>
  <si>
    <t>0987654324</t>
  </si>
  <si>
    <t>Khách mời Hoàng Văn Nam</t>
  </si>
  <si>
    <t>TỔNG CỘNG</t>
  </si>
  <si>
    <t>001096005678</t>
  </si>
  <si>
    <t>00710009999</t>
  </si>
  <si>
    <t>Vietcombank</t>
  </si>
  <si>
    <t>anh.lm@vov.vn</t>
  </si>
  <si>
    <t>- Leader tự phát sinh hợp đồng cá nhân trong vòng 3 tháng</t>
  </si>
  <si>
    <t>Leader team - giám đốc Kd</t>
  </si>
  <si>
    <t>- Duy trì tối thiểu 5 ProSale hoạt động trong nhóm</t>
  </si>
  <si>
    <t>Tri ân kết nối phó tổng</t>
  </si>
  <si>
    <t>0987654325</t>
  </si>
  <si>
    <t>Khách mời Trịnh Công Sơn</t>
  </si>
  <si>
    <t>Tổng điềù hành</t>
  </si>
  <si>
    <t>Phó tổng</t>
  </si>
  <si>
    <t>Quỹ hỗ trợ &amp; dự phòng</t>
  </si>
  <si>
    <t>TỔNG CỘNG NGÂN SÁCH</t>
  </si>
  <si>
    <t>- Team phát sinh ít nhất 1 hợp đồng / tháng để đảm bảo duy trì nhóm</t>
  </si>
  <si>
    <t>3. THAM CHIẾU QUY ĐỔI TOKEN ĐÀO TẠO (QUỸ ĐÀO TẠO ĐỒNG)</t>
  </si>
  <si>
    <t>Hạng đào tạo</t>
  </si>
  <si>
    <t>Số lượng Token quy đổi</t>
  </si>
  <si>
    <t>Giá trị quy định (Nếu cố định tham chiếu)</t>
  </si>
  <si>
    <t>Hạng A (Chuyên nghiệp / Giảng viên)</t>
  </si>
  <si>
    <t>Tính động theo bể ngân sách từng buổi học (Tab 7)</t>
  </si>
  <si>
    <t>Hạng B (Trợ giảng có kinh nghiệm)</t>
  </si>
  <si>
    <t>Hạng C (Học viên xuất sắc / Hộ)</t>
  </si>
  <si>
    <t>Hạng D (Học viên tham gia đầy đủ)</t>
  </si>
  <si>
    <t>001096009999</t>
  </si>
  <si>
    <t>1023456789</t>
  </si>
  <si>
    <t>Vietinbank</t>
  </si>
  <si>
    <t>van.tt@vov.vn</t>
  </si>
  <si>
    <t>001096001111</t>
  </si>
  <si>
    <t>11112222333</t>
  </si>
  <si>
    <t>MB Bank</t>
  </si>
  <si>
    <t>duc.bm@vov.vn</t>
  </si>
  <si>
    <t>Thành viên</t>
  </si>
  <si>
    <t>001096002222</t>
  </si>
  <si>
    <t>19034444555</t>
  </si>
  <si>
    <t>hai.nt@vov.vn</t>
  </si>
  <si>
    <t>0912345676</t>
  </si>
  <si>
    <t>Đỗ Hoàng Nam</t>
  </si>
  <si>
    <t>001096003333</t>
  </si>
  <si>
    <t>19034444666</t>
  </si>
  <si>
    <t>nam.dh@vov.vn</t>
  </si>
  <si>
    <t>0912345677</t>
  </si>
  <si>
    <t>Hoàng Quốc Bảo</t>
  </si>
  <si>
    <t>001096004444</t>
  </si>
  <si>
    <t>19034444777</t>
  </si>
  <si>
    <t>bao.hq@vov.vn</t>
  </si>
  <si>
    <t>0912345678</t>
  </si>
  <si>
    <t>Vũ Minh Tuấn</t>
  </si>
  <si>
    <t>001096005555</t>
  </si>
  <si>
    <t>19034444888</t>
  </si>
  <si>
    <t>tuan.vm@vov.vn</t>
  </si>
  <si>
    <t>0912345679</t>
  </si>
  <si>
    <t>Phạm Văn An</t>
  </si>
  <si>
    <t>001096006666</t>
  </si>
  <si>
    <t>19034444999</t>
  </si>
  <si>
    <t>an.pv@vov.vn</t>
  </si>
  <si>
    <t>Thép</t>
  </si>
  <si>
    <t>0912345680</t>
  </si>
  <si>
    <t>Đặng Hoài Nam</t>
  </si>
  <si>
    <t>001096007777</t>
  </si>
  <si>
    <t>19034444000</t>
  </si>
  <si>
    <t>nam.dh2@vov.vn</t>
  </si>
  <si>
    <t>0912345681</t>
  </si>
  <si>
    <t>Trần Văn Phú</t>
  </si>
  <si>
    <t>001096008888</t>
  </si>
  <si>
    <t>19034444111</t>
  </si>
  <si>
    <t>phu.tv@vov.vn</t>
  </si>
  <si>
    <t>Kim Cương</t>
  </si>
  <si>
    <t>0912345682</t>
  </si>
  <si>
    <t>Nguyễn Thị Bình</t>
  </si>
  <si>
    <t>19034444222</t>
  </si>
  <si>
    <t>binh.nt@vov.vn</t>
  </si>
  <si>
    <t>0912345683</t>
  </si>
  <si>
    <t>Lê Văn Cường</t>
  </si>
  <si>
    <t>001096000001</t>
  </si>
  <si>
    <t>19034444333</t>
  </si>
  <si>
    <t>cuong.lv@vov.vn</t>
  </si>
  <si>
    <t>0912345684</t>
  </si>
  <si>
    <t>Nhân sự Kim Cương 14</t>
  </si>
  <si>
    <t>001096000014</t>
  </si>
  <si>
    <t>19034444014</t>
  </si>
  <si>
    <t>kc14@vov.vn</t>
  </si>
  <si>
    <t>0912345685</t>
  </si>
  <si>
    <t>Nhân sự Kim Cương 15</t>
  </si>
  <si>
    <t>001096000015</t>
  </si>
  <si>
    <t>19034444015</t>
  </si>
  <si>
    <t>kc15@vov.vn</t>
  </si>
  <si>
    <t>0912345686</t>
  </si>
  <si>
    <t>Nhân sự Kim Cương 16</t>
  </si>
  <si>
    <t>001096000016</t>
  </si>
  <si>
    <t>19034444016</t>
  </si>
  <si>
    <t>kc16@vov.vn</t>
  </si>
  <si>
    <t>0912345687</t>
  </si>
  <si>
    <t>Nhân sự Kim Cương 17</t>
  </si>
  <si>
    <t>001096000017</t>
  </si>
  <si>
    <t>19034444017</t>
  </si>
  <si>
    <t>kc17@vov.vn</t>
  </si>
  <si>
    <t>0912345688</t>
  </si>
  <si>
    <t>Nhân sự Kim Cương 18</t>
  </si>
  <si>
    <t>001096000018</t>
  </si>
  <si>
    <t>19034444018</t>
  </si>
  <si>
    <t>kc18@vov.vn</t>
  </si>
  <si>
    <t>0912345689</t>
  </si>
  <si>
    <t>Nhân sự Kim Cương 19</t>
  </si>
  <si>
    <t>001096000019</t>
  </si>
  <si>
    <t>19034444019</t>
  </si>
  <si>
    <t>kc19@vov.vn</t>
  </si>
  <si>
    <t>QUẢN LÝ DOANH SỐ CHỐT &amp; HOA HỒNG HAI TẦNG CHUYÊN NGHIỆP</t>
  </si>
  <si>
    <t>0912345690</t>
  </si>
  <si>
    <t>Mã Hợp đồng</t>
  </si>
  <si>
    <t>Nhân sự Kim Cương 20</t>
  </si>
  <si>
    <t>001096000020</t>
  </si>
  <si>
    <t>Ngày ký</t>
  </si>
  <si>
    <t>19034444020</t>
  </si>
  <si>
    <t>Tên Khách hàng</t>
  </si>
  <si>
    <t>kc20@vov.vn</t>
  </si>
  <si>
    <t>Giá trị hợp đồng (VND)</t>
  </si>
  <si>
    <t>Người chốt hợp đồng (Mã TV)</t>
  </si>
  <si>
    <t>Họ tên Người chốt</t>
  </si>
  <si>
    <t>Người hỗ trợ (Mã TV)</t>
  </si>
  <si>
    <t>Họ tên Người hỗ trợ</t>
  </si>
  <si>
    <t>Thù lao Người chốt (6%) (VND)</t>
  </si>
  <si>
    <t>Thù lao Người giới thiệu (1%) (VND)</t>
  </si>
  <si>
    <t>Thù lao Người hỗ trợ (0.5%) (VND)</t>
  </si>
  <si>
    <t>Link File Hợp đồng</t>
  </si>
  <si>
    <t>PHÂN TÍCH PHÂN BỔ NGÂN SÁCH HỢP ĐỒNG (15%)</t>
  </si>
  <si>
    <t>HD001</t>
  </si>
  <si>
    <t>Bác Nguyễn Văn Hải (Sở hữu)</t>
  </si>
  <si>
    <t>Đã duyệt</t>
  </si>
  <si>
    <t>https://drive.google.com/file/d/HD001/view</t>
  </si>
  <si>
    <t>Tên Quỹ / Bộ phận</t>
  </si>
  <si>
    <t>Tỷ lệ (%)</t>
  </si>
  <si>
    <t>Thêm từ Chốt HĐ (VND)</t>
  </si>
  <si>
    <t>0912345691</t>
  </si>
  <si>
    <t>Nhân sự Kim Cương 21</t>
  </si>
  <si>
    <t>001096000021</t>
  </si>
  <si>
    <t>Tổng tồn quỹ sau cộng (VND)</t>
  </si>
  <si>
    <t>19034444021</t>
  </si>
  <si>
    <t>kc21@vov.vn</t>
  </si>
  <si>
    <t>HD002</t>
  </si>
  <si>
    <t>Cô Phạm Thị Liên</t>
  </si>
  <si>
    <t>https://drive.google.com/file/d/HD002/view</t>
  </si>
  <si>
    <t>HD003</t>
  </si>
  <si>
    <t>Chú Ngô Quốc Huy</t>
  </si>
  <si>
    <t>https://drive.google.com/file/d/HD003/view</t>
  </si>
  <si>
    <t>HD004</t>
  </si>
  <si>
    <t>Anh Lâm Minh Triết</t>
  </si>
  <si>
    <t>https://drive.google.com/file/d/HD004/view</t>
  </si>
  <si>
    <t>0912345692</t>
  </si>
  <si>
    <t>Nhân sự Kim Cương 22</t>
  </si>
  <si>
    <t>001096000022</t>
  </si>
  <si>
    <t>19034444022</t>
  </si>
  <si>
    <t>kc22@vov.vn</t>
  </si>
  <si>
    <t>0912345693</t>
  </si>
  <si>
    <t>Nhân sự Kim Cương 23</t>
  </si>
  <si>
    <t>001096000023</t>
  </si>
  <si>
    <t>19034444023</t>
  </si>
  <si>
    <t>kc23@vov.vn</t>
  </si>
  <si>
    <t>TỔNG NGÂN SÁCH (15%)</t>
  </si>
  <si>
    <t>0912345694</t>
  </si>
  <si>
    <t>Nhân sự Kim Cương 24</t>
  </si>
  <si>
    <t>001096000024</t>
  </si>
  <si>
    <t>19034444024</t>
  </si>
  <si>
    <t>kc24@vov.vn</t>
  </si>
  <si>
    <t>0912345695</t>
  </si>
  <si>
    <t>Nhân sự Kim Cương 25</t>
  </si>
  <si>
    <t>001096000025</t>
  </si>
  <si>
    <t>19034444025</t>
  </si>
  <si>
    <t>kc25@vov.vn</t>
  </si>
  <si>
    <t>0912345696</t>
  </si>
  <si>
    <t>Nhân sự Kim Cương 26</t>
  </si>
  <si>
    <t>001096000026</t>
  </si>
  <si>
    <t>19034444026</t>
  </si>
  <si>
    <t>kc26@vov.vn</t>
  </si>
  <si>
    <t>0912345697</t>
  </si>
  <si>
    <t>Nhân sự Kim Cương 27</t>
  </si>
  <si>
    <t>001096000027</t>
  </si>
  <si>
    <t>19034444027</t>
  </si>
  <si>
    <t>kc27@vov.vn</t>
  </si>
  <si>
    <t>0912345698</t>
  </si>
  <si>
    <t>Nhân sự Kim Cương 28</t>
  </si>
  <si>
    <t>001096000028</t>
  </si>
  <si>
    <t>19034444028</t>
  </si>
  <si>
    <t>kc28@vov.vn</t>
  </si>
  <si>
    <t>0912345699</t>
  </si>
  <si>
    <t>Nhân sự Kim Cương 29</t>
  </si>
  <si>
    <t>001096000029</t>
  </si>
  <si>
    <t>19034444029</t>
  </si>
  <si>
    <t>kc29@vov.vn</t>
  </si>
  <si>
    <t>CỔNG QUẢN LÝ PHÊ DUYỆT ĐỀ XUẤT CHI QUỸ &amp; LỊCH SỬ THU CHI</t>
  </si>
  <si>
    <t>Mã Phiếu YC</t>
  </si>
  <si>
    <t>Ngày đề xuất</t>
  </si>
  <si>
    <t>Quỹ trích chi (Nguồn quỹ)</t>
  </si>
  <si>
    <t>Nội dung chi tiết</t>
  </si>
  <si>
    <t>Người đề xuất (Mã TV)</t>
  </si>
  <si>
    <t>Họ tên Người đề xuất</t>
  </si>
  <si>
    <t>Người duyệt chi (Mã TV)</t>
  </si>
  <si>
    <t>Họ tên Người duyệt</t>
  </si>
  <si>
    <t>Người thụ hưởng (Mã TV/Khách)</t>
  </si>
  <si>
    <t>Số tiền đề xuất (VND)</t>
  </si>
  <si>
    <t>Số dư khả dụng (VND)</t>
  </si>
  <si>
    <t>Cảnh báo tồn quỹ</t>
  </si>
  <si>
    <t>Trạng thái phê duyệt</t>
  </si>
  <si>
    <t>Thời điểm duyệt</t>
  </si>
  <si>
    <t>Thời điểm đi tiền</t>
  </si>
  <si>
    <t>Số tiền thực chi (VND)</t>
  </si>
  <si>
    <t>Link chứng từ</t>
  </si>
  <si>
    <t>BẢNG THEO DÕI SỐ DƯ TỔNG TOÀN BỘ CÁC QUỸ</t>
  </si>
  <si>
    <t>YC001</t>
  </si>
  <si>
    <t>0912345700</t>
  </si>
  <si>
    <t>Nhân sự Kim Cương 30</t>
  </si>
  <si>
    <t>001096000030</t>
  </si>
  <si>
    <t>19034444030</t>
  </si>
  <si>
    <t>kc30@vov.vn</t>
  </si>
  <si>
    <t>Chi mua quà tặng VIP Sinh nhật Khách hàng</t>
  </si>
  <si>
    <t>Khách hàng VIP</t>
  </si>
  <si>
    <t>2026-08-05</t>
  </si>
  <si>
    <t>2026-08-06</t>
  </si>
  <si>
    <t>https://drive.google.com/file/d/YC001_receipt/view</t>
  </si>
  <si>
    <t>Tên Quỹ</t>
  </si>
  <si>
    <t>YC002</t>
  </si>
  <si>
    <t>Chi phí xăng xe, đi lại cho quản lý đi tỉnh</t>
  </si>
  <si>
    <t>2026-08-12</t>
  </si>
  <si>
    <t>2026-08-13</t>
  </si>
  <si>
    <t>https://drive.google.com/file/d/YC002_receipt/view</t>
  </si>
  <si>
    <t>0912345701</t>
  </si>
  <si>
    <t>Nhân sự Kim Cương 31</t>
  </si>
  <si>
    <t>001096000031</t>
  </si>
  <si>
    <t>19034444031</t>
  </si>
  <si>
    <t>kc31@vov.vn</t>
  </si>
  <si>
    <t>YC003</t>
  </si>
  <si>
    <t>Khen thưởng nóng doanh số tuần vàng</t>
  </si>
  <si>
    <t>2026-08-20</t>
  </si>
  <si>
    <t>2026-08-21</t>
  </si>
  <si>
    <t>https://drive.google.com/file/d/YC003_receipt/view</t>
  </si>
  <si>
    <t>YC004</t>
  </si>
  <si>
    <t>Kinh phí khánh thành tổ chức tri ân VIP</t>
  </si>
  <si>
    <t>Đơn vị Sự kiện</t>
  </si>
  <si>
    <t>YC005</t>
  </si>
  <si>
    <t>Kinh phí mua quà tặng trung thu cho khách hàng VIP</t>
  </si>
  <si>
    <t>YC006</t>
  </si>
  <si>
    <t>Yêu cầu chi phí xăng xe và công tác ngoại tỉnh Vĩnh Phúc</t>
  </si>
  <si>
    <t>0912345702</t>
  </si>
  <si>
    <t>Nhân sự Kim Cương 32</t>
  </si>
  <si>
    <t>001096000032</t>
  </si>
  <si>
    <t>19034444032</t>
  </si>
  <si>
    <t>kc32@vov.vn</t>
  </si>
  <si>
    <t>YC007</t>
  </si>
  <si>
    <t>Kinh phí đặt cọc thuê hội trường cho sự kiện tháng 9</t>
  </si>
  <si>
    <t>Khách sạn Mường Thanh</t>
  </si>
  <si>
    <t>YC008</t>
  </si>
  <si>
    <t>Chi phí mua sách và giáo trình đào tạo Thành viên mới</t>
  </si>
  <si>
    <t>Nhà sách Fahasa</t>
  </si>
  <si>
    <t>YC009</t>
  </si>
  <si>
    <t>Yêu cầu mua sắm thiết bị văn phòng phẩm bổ sung kỳ II</t>
  </si>
  <si>
    <t>Nhà sách Hồng Hà</t>
  </si>
  <si>
    <t>YC010</t>
  </si>
  <si>
    <t>Chi phí tiếp khách và gặp gỡ đối tác chiến lược</t>
  </si>
  <si>
    <t>Nhà hàng Sen Tây Hồ</t>
  </si>
  <si>
    <t>YC011</t>
  </si>
  <si>
    <t>Kinh phí chuẩn bị phần thưởng chiến dịch 'Tuần Vàng Doanh Số'</t>
  </si>
  <si>
    <t>00710008888</t>
  </si>
  <si>
    <t>hoi.cv@vov.vn</t>
  </si>
  <si>
    <t>Thành viên đoạt giải</t>
  </si>
  <si>
    <t>Không hoạt động</t>
  </si>
  <si>
    <t>TỔNG CỘNG SỐ DƯ CÁC QUỸ</t>
  </si>
  <si>
    <t>OK</t>
  </si>
  <si>
    <t>00710007777</t>
  </si>
  <si>
    <t>kim.nt@vov.vn</t>
  </si>
  <si>
    <t>00710006666</t>
  </si>
  <si>
    <t>phungsu@vov.vn</t>
  </si>
  <si>
    <t>DANH SÁCH THAM GIA ĐÀO TẠO &amp; PHÂN CHIA THÙ LAO THEO TOKEN BỂ CỐ ĐỊNH (DYNAMIC POOL SHARING)</t>
  </si>
  <si>
    <t>DANH MỤC BUỔI ĐÀO TẠO &amp; NGÂN SÁCH CỐ ĐỊNH</t>
  </si>
  <si>
    <t>00710005555</t>
  </si>
  <si>
    <t>nam.hv@vov.vn</t>
  </si>
  <si>
    <t>Mã Buổi học</t>
  </si>
  <si>
    <t>Mã Thành viên (SDT)</t>
  </si>
  <si>
    <t>Họ Tên người tham gia</t>
  </si>
  <si>
    <t>Vai trò đào tạo</t>
  </si>
  <si>
    <t>Hạng Token</t>
  </si>
  <si>
    <t>Số Token</t>
  </si>
  <si>
    <t>Ngân sách Buổi học (VND)</t>
  </si>
  <si>
    <t>Tổng Token Buổi</t>
  </si>
  <si>
    <t>Thù lao thực nhận (VND)</t>
  </si>
  <si>
    <t>Người duyệt chi</t>
  </si>
  <si>
    <t>Thực chi hợp lệ (VND)</t>
  </si>
  <si>
    <t>Ngày đào tạo</t>
  </si>
  <si>
    <t>Tên Buổi học</t>
  </si>
  <si>
    <t>Ngân sách (VND)</t>
  </si>
  <si>
    <t>TR001</t>
  </si>
  <si>
    <t>Giảng viên</t>
  </si>
  <si>
    <t>Hạng A</t>
  </si>
  <si>
    <t>Tổng điều hành</t>
  </si>
  <si>
    <t>Kỹ năng tư vấn tài chính</t>
  </si>
  <si>
    <t>Trợ giảng</t>
  </si>
  <si>
    <t>Hạng B</t>
  </si>
  <si>
    <t>TR002</t>
  </si>
  <si>
    <t>Nghiệp vụ chốt hợp đồng thực chiến</t>
  </si>
  <si>
    <t>Học viên xuất sắc</t>
  </si>
  <si>
    <t>Hạng C</t>
  </si>
  <si>
    <t>TR003</t>
  </si>
  <si>
    <t>Đào tạo kỹ thuật công nghệ phần mềm mới</t>
  </si>
  <si>
    <t>TR004</t>
  </si>
  <si>
    <t>Kỹ năng thuyết trình chuyên nghiệp</t>
  </si>
  <si>
    <t>TR005</t>
  </si>
  <si>
    <t>Kỹ năng quản lý đội nhóm hiệu quả</t>
  </si>
  <si>
    <t>001096000000</t>
  </si>
  <si>
    <t>00710004444</t>
  </si>
  <si>
    <t>son.tc@vov.vn</t>
  </si>
  <si>
    <t>Học viên</t>
  </si>
  <si>
    <t>Hạng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</si>
</sst>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&quot; đ&quot;"/>
    <numFmt numFmtId="166" formatCode="0.0%"/>
  </numFmts>
  <fonts count="19">
    <font>
      <sz val="11.0"/>
      <color rgb="FF000000"/>
      <name val="Calibri"/>
      <scheme val="minor"/>
    </font>
    <font>
      <b/>
      <sz val="14.0"/>
      <color rgb="FFFFFFFF"/>
      <name val="Times New Roman"/>
    </font>
    <font>
      <b/>
      <sz val="14.0"/>
      <color rgb="FFFFFFFF"/>
      <name val="Quattrocento Sans"/>
    </font>
    <font/>
    <font>
      <sz val="11.0"/>
      <color rgb="FF000000"/>
      <name val="Times New Roman"/>
    </font>
    <font>
      <sz val="11.0"/>
      <color rgb="FF000000"/>
      <name val="Calibri"/>
    </font>
    <font>
      <color theme="1"/>
      <name val="Times New Roman"/>
    </font>
    <font>
      <b/>
      <sz val="10.0"/>
      <color theme="1"/>
      <name val="Quattrocento Sans"/>
    </font>
    <font>
      <sz val="10.0"/>
      <color theme="1"/>
      <name val="Quattrocento Sans"/>
    </font>
    <font>
      <b/>
      <sz val="10.0"/>
      <color rgb="FFFFFFFF"/>
      <name val="Quattrocento Sans"/>
    </font>
    <font>
      <b/>
      <sz val="10.0"/>
      <color theme="1"/>
      <name val="Times New Roman"/>
    </font>
    <font>
      <b/>
      <sz val="11.0"/>
      <color rgb="FFFFFFFF"/>
      <name val="Times New Roman"/>
    </font>
    <font>
      <sz val="10.0"/>
      <color theme="1"/>
      <name val="Times New Roman"/>
    </font>
    <font>
      <b/>
      <sz val="10.0"/>
      <color rgb="FFFFFFFF"/>
      <name val="Times New Roman"/>
    </font>
    <font>
      <i/>
      <sz val="9.0"/>
      <color theme="1"/>
      <name val="Times New Roman"/>
    </font>
    <font>
      <sz val="9.0"/>
      <color theme="1"/>
      <name val="Times New Roman"/>
    </font>
    <font>
      <b/>
      <sz val="10.0"/>
      <color rgb="FF375623"/>
      <name val="Quattrocento Sans"/>
    </font>
    <font>
      <b/>
      <sz val="10.0"/>
      <color rgb="FFC00000"/>
      <name val="Quattrocento Sans"/>
    </font>
    <font>
      <i/>
      <sz val="9.0"/>
      <color theme="1"/>
      <name val="Quattrocento Sans"/>
    </font>
  </fonts>
  <fills count="9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DDEBF7"/>
        <bgColor rgb="FFDDEBF7"/>
      </patternFill>
    </fill>
    <fill>
      <patternFill patternType="solid">
        <fgColor rgb="FF2F5597"/>
        <bgColor rgb="FF2F5597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double">
        <color rgb="FF000000"/>
      </bottom>
    </border>
    <border>
      <left/>
      <top style="thin">
        <color rgb="FFBFBFBF"/>
      </top>
      <bottom style="double">
        <color rgb="FF000000"/>
      </bottom>
    </border>
    <border>
      <top style="thin">
        <color rgb="FFBFBFBF"/>
      </top>
      <bottom style="double">
        <color rgb="FF000000"/>
      </bottom>
    </border>
    <border>
      <right/>
      <top style="thin">
        <color rgb="FFBFBFBF"/>
      </top>
      <bottom style="double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bottom"/>
    </xf>
    <xf borderId="4" fillId="3" fontId="8" numFmtId="164" xfId="0" applyAlignment="1" applyBorder="1" applyFill="1" applyFont="1" applyNumberFormat="1">
      <alignment vertical="bottom"/>
    </xf>
    <xf borderId="4" fillId="4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1" fillId="4" fontId="11" numFmtId="0" xfId="0" applyAlignment="1" applyBorder="1" applyFill="1" applyFont="1">
      <alignment vertical="center"/>
    </xf>
    <xf borderId="5" fillId="0" fontId="8" numFmtId="0" xfId="0" applyAlignment="1" applyBorder="1" applyFont="1">
      <alignment horizontal="center" vertical="center"/>
    </xf>
    <xf borderId="5" fillId="0" fontId="8" numFmtId="164" xfId="0" applyAlignment="1" applyBorder="1" applyFont="1" applyNumberFormat="1">
      <alignment horizontal="center" vertical="center"/>
    </xf>
    <xf borderId="0" fillId="0" fontId="12" numFmtId="0" xfId="0" applyAlignment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1" fillId="3" fontId="10" numFmtId="165" xfId="0" applyAlignment="1" applyBorder="1" applyFill="1" applyFont="1" applyNumberFormat="1">
      <alignment horizontal="right" vertical="center"/>
    </xf>
    <xf borderId="1" fillId="3" fontId="10" numFmtId="166" xfId="0" applyAlignment="1" applyBorder="1" applyFill="1" applyFont="1" applyNumberFormat="1">
      <alignment horizontal="right" vertical="center"/>
    </xf>
    <xf borderId="0" fillId="0" fontId="12" numFmtId="0" xfId="0" applyAlignment="1" applyFont="1">
      <alignment vertical="center"/>
    </xf>
    <xf borderId="4" fillId="3" fontId="10" numFmtId="165" xfId="0" applyAlignment="1" applyBorder="1" applyFill="1" applyFont="1" applyNumberFormat="1">
      <alignment vertical="center"/>
    </xf>
    <xf borderId="0" fillId="0" fontId="10" numFmtId="165" xfId="0" applyAlignment="1" applyFont="1" applyNumberFormat="1">
      <alignment horizontal="right" vertical="center"/>
    </xf>
    <xf borderId="0" fillId="0" fontId="10" numFmtId="165" xfId="0" applyAlignment="1" applyFont="1" applyNumberFormat="1">
      <alignment vertical="center"/>
    </xf>
    <xf borderId="4" fillId="2" fontId="13" numFmtId="0" xfId="0" applyAlignment="1" applyBorder="1" applyFill="1" applyFont="1">
      <alignment horizontal="center" shrinkToFit="0" vertical="center" wrapText="1"/>
    </xf>
    <xf borderId="5" fillId="0" fontId="8" numFmtId="165" xfId="0" applyAlignment="1" applyBorder="1" applyFont="1" applyNumberFormat="1">
      <alignment horizontal="right" vertical="center"/>
    </xf>
    <xf borderId="1" fillId="2" fontId="13" numFmtId="0" xfId="0" applyAlignment="1" applyBorder="1" applyFill="1" applyFont="1">
      <alignment horizontal="center" vertical="center"/>
    </xf>
    <xf borderId="5" fillId="0" fontId="12" numFmtId="0" xfId="0" applyAlignment="1" applyBorder="1" applyFont="1">
      <alignment horizontal="left" vertical="center"/>
    </xf>
    <xf borderId="5" fillId="0" fontId="10" numFmtId="166" xfId="0" applyAlignment="1" applyBorder="1" applyFont="1" applyNumberFormat="1">
      <alignment horizontal="center" vertical="center"/>
    </xf>
    <xf borderId="5" fillId="0" fontId="8" numFmtId="165" xfId="0" applyAlignment="1" applyBorder="1" applyFont="1" applyNumberFormat="1">
      <alignment horizontal="left" vertical="center"/>
    </xf>
    <xf borderId="5" fillId="5" fontId="10" numFmtId="166" xfId="0" applyAlignment="1" applyBorder="1" applyFill="1" applyFont="1" applyNumberFormat="1">
      <alignment horizontal="center" readingOrder="0" vertical="center"/>
    </xf>
    <xf borderId="5" fillId="0" fontId="7" numFmtId="165" xfId="0" applyAlignment="1" applyBorder="1" applyFont="1" applyNumberFormat="1">
      <alignment horizontal="right" vertical="center"/>
    </xf>
    <xf borderId="5" fillId="0" fontId="12" numFmtId="165" xfId="0" applyAlignment="1" applyBorder="1" applyFont="1" applyNumberFormat="1">
      <alignment horizontal="right" vertical="center"/>
    </xf>
    <xf borderId="5" fillId="0" fontId="7" numFmtId="0" xfId="0" applyAlignment="1" applyBorder="1" applyFont="1">
      <alignment horizontal="left" vertical="center"/>
    </xf>
    <xf borderId="4" fillId="4" fontId="13" numFmtId="0" xfId="0" applyAlignment="1" applyBorder="1" applyFill="1" applyFont="1">
      <alignment horizontal="center" vertical="center"/>
    </xf>
    <xf borderId="4" fillId="4" fontId="13" numFmtId="0" xfId="0" applyAlignment="1" applyBorder="1" applyFill="1" applyFont="1">
      <alignment horizontal="center" readingOrder="0" vertical="center"/>
    </xf>
    <xf borderId="1" fillId="4" fontId="13" numFmtId="0" xfId="0" applyAlignment="1" applyBorder="1" applyFill="1" applyFont="1">
      <alignment horizontal="center" vertical="center"/>
    </xf>
    <xf borderId="5" fillId="0" fontId="12" numFmtId="0" xfId="0" applyAlignment="1" applyBorder="1" applyFont="1">
      <alignment horizontal="right" vertical="center"/>
    </xf>
    <xf borderId="5" fillId="0" fontId="12" numFmtId="166" xfId="0" applyAlignment="1" applyBorder="1" applyFont="1" applyNumberFormat="1">
      <alignment horizontal="right" vertical="center"/>
    </xf>
    <xf borderId="5" fillId="5" fontId="12" numFmtId="166" xfId="0" applyAlignment="1" applyBorder="1" applyFill="1" applyFont="1" applyNumberFormat="1">
      <alignment horizontal="right" readingOrder="0" vertical="center"/>
    </xf>
    <xf borderId="5" fillId="0" fontId="10" numFmtId="0" xfId="0" applyAlignment="1" applyBorder="1" applyFont="1">
      <alignment horizontal="left" vertical="center"/>
    </xf>
    <xf borderId="5" fillId="0" fontId="12" numFmtId="9" xfId="0" applyAlignment="1" applyBorder="1" applyFont="1" applyNumberFormat="1">
      <alignment horizontal="center" vertical="center"/>
    </xf>
    <xf borderId="5" fillId="0" fontId="12" numFmtId="0" xfId="0" applyAlignment="1" applyBorder="1" applyFont="1">
      <alignment horizontal="center" readingOrder="0" vertical="center"/>
    </xf>
    <xf borderId="5" fillId="0" fontId="10" numFmtId="165" xfId="0" applyAlignment="1" applyBorder="1" applyFont="1" applyNumberFormat="1">
      <alignment horizontal="center" vertical="center"/>
    </xf>
    <xf borderId="6" fillId="0" fontId="14" numFmtId="0" xfId="0" applyAlignment="1" applyBorder="1" applyFont="1">
      <alignment horizontal="left" shrinkToFit="0" vertical="center" wrapText="1"/>
    </xf>
    <xf borderId="7" fillId="0" fontId="3" numFmtId="0" xfId="0" applyBorder="1" applyFont="1"/>
    <xf borderId="5" fillId="0" fontId="12" numFmtId="0" xfId="0" applyAlignment="1" applyBorder="1" applyFont="1">
      <alignment horizontal="center" vertical="center"/>
    </xf>
    <xf borderId="6" fillId="6" fontId="15" numFmtId="0" xfId="0" applyAlignment="1" applyBorder="1" applyFill="1" applyFont="1">
      <alignment horizontal="left" shrinkToFit="0" vertical="center" wrapText="1"/>
    </xf>
    <xf borderId="8" fillId="0" fontId="3" numFmtId="0" xfId="0" applyBorder="1" applyFont="1"/>
    <xf borderId="5" fillId="5" fontId="10" numFmtId="166" xfId="0" applyAlignment="1" applyBorder="1" applyFill="1" applyFont="1" applyNumberFormat="1">
      <alignment horizontal="center" vertical="center"/>
    </xf>
    <xf borderId="9" fillId="3" fontId="7" numFmtId="0" xfId="0" applyAlignment="1" applyBorder="1" applyFill="1" applyFont="1">
      <alignment horizontal="center" vertical="center"/>
    </xf>
    <xf borderId="9" fillId="3" fontId="5" numFmtId="0" xfId="0" applyAlignment="1" applyBorder="1" applyFill="1" applyFont="1">
      <alignment horizontal="center" vertical="center"/>
    </xf>
    <xf borderId="9" fillId="3" fontId="5" numFmtId="0" xfId="0" applyAlignment="1" applyBorder="1" applyFill="1" applyFont="1">
      <alignment horizontal="left" vertical="center"/>
    </xf>
    <xf borderId="9" fillId="3" fontId="7" numFmtId="165" xfId="0" applyAlignment="1" applyBorder="1" applyFill="1" applyFont="1" applyNumberFormat="1">
      <alignment horizontal="right" vertical="center"/>
    </xf>
    <xf borderId="9" fillId="3" fontId="7" numFmtId="165" xfId="0" applyAlignment="1" applyBorder="1" applyFill="1" applyFont="1" applyNumberFormat="1">
      <alignment horizontal="left" vertical="center"/>
    </xf>
    <xf borderId="5" fillId="0" fontId="10" numFmtId="0" xfId="0" applyAlignment="1" applyBorder="1" applyFont="1">
      <alignment horizontal="right" vertical="center"/>
    </xf>
    <xf borderId="5" fillId="0" fontId="12" numFmtId="0" xfId="0" applyAlignment="1" applyBorder="1" applyFont="1">
      <alignment horizontal="right" readingOrder="0" vertical="center"/>
    </xf>
    <xf borderId="5" fillId="6" fontId="15" numFmtId="0" xfId="0" applyAlignment="1" applyBorder="1" applyFill="1" applyFont="1">
      <alignment horizontal="left" shrinkToFit="0" vertical="center" wrapText="1"/>
    </xf>
    <xf borderId="5" fillId="0" fontId="8" numFmtId="0" xfId="0" applyAlignment="1" applyBorder="1" applyFont="1">
      <alignment horizontal="center" vertical="bottom"/>
    </xf>
    <xf borderId="5" fillId="0" fontId="8" numFmtId="164" xfId="0" applyAlignment="1" applyBorder="1" applyFont="1" applyNumberFormat="1">
      <alignment horizontal="center" vertical="bottom"/>
    </xf>
    <xf borderId="9" fillId="3" fontId="10" numFmtId="0" xfId="0" applyAlignment="1" applyBorder="1" applyFill="1" applyFont="1">
      <alignment horizontal="center" vertical="center"/>
    </xf>
    <xf borderId="5" fillId="0" fontId="8" numFmtId="0" xfId="0" applyAlignment="1" applyBorder="1" applyFont="1">
      <alignment horizontal="left" vertical="bottom"/>
    </xf>
    <xf borderId="9" fillId="3" fontId="10" numFmtId="10" xfId="0" applyAlignment="1" applyBorder="1" applyFill="1" applyFont="1" applyNumberFormat="1">
      <alignment horizontal="center" vertical="center"/>
    </xf>
    <xf borderId="5" fillId="0" fontId="8" numFmtId="165" xfId="0" applyAlignment="1" applyBorder="1" applyFont="1" applyNumberFormat="1">
      <alignment horizontal="right" vertical="bottom"/>
    </xf>
    <xf borderId="9" fillId="3" fontId="10" numFmtId="165" xfId="0" applyAlignment="1" applyBorder="1" applyFill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6" fillId="6" fontId="1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4" fillId="2" fontId="13" numFmtId="0" xfId="0" applyAlignment="1" applyBorder="1" applyFill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4" fontId="9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vertical="center"/>
    </xf>
    <xf borderId="5" fillId="3" fontId="8" numFmtId="0" xfId="0" applyAlignment="1" applyBorder="1" applyFill="1" applyFont="1">
      <alignment horizontal="center" vertical="center"/>
    </xf>
    <xf borderId="4" fillId="4" fontId="9" numFmtId="0" xfId="0" applyAlignment="1" applyBorder="1" applyFill="1" applyFont="1">
      <alignment horizontal="left" vertical="center"/>
    </xf>
    <xf borderId="4" fillId="4" fontId="9" numFmtId="0" xfId="0" applyAlignment="1" applyBorder="1" applyFill="1" applyFont="1">
      <alignment horizontal="center" vertical="bottom"/>
    </xf>
    <xf borderId="4" fillId="4" fontId="7" numFmtId="0" xfId="0" applyAlignment="1" applyBorder="1" applyFill="1" applyFont="1">
      <alignment horizontal="center" shrinkToFit="0" vertical="center" wrapText="1"/>
    </xf>
    <xf borderId="5" fillId="0" fontId="8" numFmtId="10" xfId="0" applyAlignment="1" applyBorder="1" applyFont="1" applyNumberFormat="1">
      <alignment horizontal="right" vertical="bottom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right" vertical="center"/>
    </xf>
    <xf borderId="9" fillId="3" fontId="7" numFmtId="0" xfId="0" applyAlignment="1" applyBorder="1" applyFill="1" applyFont="1">
      <alignment horizontal="left" vertical="center"/>
    </xf>
    <xf borderId="9" fillId="3" fontId="7" numFmtId="166" xfId="0" applyAlignment="1" applyBorder="1" applyFill="1" applyFont="1" applyNumberFormat="1">
      <alignment horizontal="right" vertical="center"/>
    </xf>
    <xf borderId="9" fillId="3" fontId="7" numFmtId="165" xfId="0" applyAlignment="1" applyBorder="1" applyFill="1" applyFont="1" applyNumberFormat="1">
      <alignment horizontal="right" vertical="bottom"/>
    </xf>
    <xf borderId="1" fillId="2" fontId="9" numFmtId="0" xfId="0" applyAlignment="1" applyBorder="1" applyFill="1" applyFont="1">
      <alignment horizontal="center" vertical="center"/>
    </xf>
    <xf borderId="5" fillId="7" fontId="8" numFmtId="165" xfId="0" applyAlignment="1" applyBorder="1" applyFill="1" applyFont="1" applyNumberFormat="1">
      <alignment horizontal="right" vertical="center"/>
    </xf>
    <xf borderId="5" fillId="7" fontId="16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8" fontId="17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center"/>
    </xf>
    <xf borderId="1" fillId="2" fontId="9" numFmtId="0" xfId="0" applyAlignment="1" applyBorder="1" applyFill="1" applyFont="1">
      <alignment horizontal="center" vertical="bottom"/>
    </xf>
    <xf borderId="5" fillId="0" fontId="18" numFmtId="0" xfId="0" applyAlignment="1" applyBorder="1" applyFont="1">
      <alignment horizontal="left" vertical="center"/>
    </xf>
    <xf borderId="5" fillId="3" fontId="7" numFmtId="0" xfId="0" applyAlignment="1" applyBorder="1" applyFill="1" applyFont="1">
      <alignment horizontal="center" vertical="bottom"/>
    </xf>
    <xf borderId="5" fillId="3" fontId="8" numFmtId="0" xfId="0" applyAlignment="1" applyBorder="1" applyFill="1" applyFont="1">
      <alignment horizontal="left" vertical="bottom"/>
    </xf>
    <xf borderId="5" fillId="3" fontId="8" numFmtId="164" xfId="0" applyAlignment="1" applyBorder="1" applyFill="1" applyFont="1" applyNumberFormat="1">
      <alignment horizontal="center" vertical="bottom"/>
    </xf>
    <xf borderId="5" fillId="3" fontId="7" numFmtId="165" xfId="0" applyAlignment="1" applyBorder="1" applyFill="1" applyFont="1" applyNumberFormat="1">
      <alignment horizontal="right" vertical="bottom"/>
    </xf>
    <xf borderId="5" fillId="0" fontId="7" numFmtId="165" xfId="0" applyAlignment="1" applyBorder="1" applyFont="1" applyNumberFormat="1">
      <alignment horizontal="right" vertical="bottom"/>
    </xf>
    <xf borderId="10" fillId="3" fontId="7" numFmtId="0" xfId="0" applyAlignment="1" applyBorder="1" applyFill="1" applyFont="1">
      <alignment horizontal="center" vertical="bottom"/>
    </xf>
    <xf borderId="11" fillId="0" fontId="3" numFmtId="0" xfId="0" applyBorder="1" applyFont="1"/>
    <xf borderId="12" fillId="0" fontId="3" numFmtId="0" xfId="0" applyBorder="1" applyFon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sz val="10.0"/>
        <color rgb="FFC00000"/>
        <name val="Quattrocento Sans"/>
      </font>
      <fill>
        <patternFill patternType="solid">
          <fgColor rgb="FFFCE4D6"/>
          <bgColor rgb="FFFCE4D6"/>
        </patternFill>
      </fill>
      <border/>
    </dxf>
    <dxf>
      <font>
        <b/>
        <sz val="10.0"/>
        <color rgb="FF375623"/>
        <name val="Quattrocento Sans"/>
      </font>
      <fill>
        <patternFill patternType="solid">
          <fgColor rgb="FFE2EFDA"/>
          <bgColor rgb="FFE2EFD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4.43"/>
    <col customWidth="1" min="3" max="3" width="12.14"/>
    <col customWidth="1" min="4" max="4" width="18.86"/>
    <col customWidth="1" min="5" max="5" width="20.29"/>
    <col customWidth="1" min="6" max="6" width="23.57"/>
    <col customWidth="1" min="7" max="7" width="14.57"/>
    <col customWidth="1" min="8" max="8" width="19.71"/>
    <col customWidth="1" min="9" max="9" width="4.86"/>
    <col customWidth="1" min="10" max="10" width="13.29"/>
    <col customWidth="1" min="11" max="11" width="14.57"/>
    <col customWidth="1" min="12" max="12" width="10.71"/>
    <col customWidth="1" min="13" max="13" width="15.0"/>
    <col customWidth="1" min="14" max="14" width="41.57"/>
    <col customWidth="1" min="15" max="26" width="8.57"/>
  </cols>
  <sheetData>
    <row r="1" ht="34.5" customHeight="1">
      <c r="A1" s="1" t="s">
        <v>0</v>
      </c>
      <c r="B1" s="3"/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11" t="s">
        <v>8</v>
      </c>
      <c r="B3" s="5"/>
      <c r="C3" s="5"/>
      <c r="D3" s="5"/>
      <c r="E3" s="5"/>
      <c r="F3" s="5"/>
      <c r="G3" s="5"/>
      <c r="H3" s="5"/>
      <c r="I3" s="5"/>
      <c r="J3" s="12" t="s">
        <v>23</v>
      </c>
      <c r="K3" s="3"/>
      <c r="L3" s="3"/>
      <c r="M3" s="3"/>
      <c r="N3" s="3"/>
      <c r="O3" s="4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0" customHeight="1">
      <c r="A4" s="15" t="s">
        <v>31</v>
      </c>
      <c r="B4" s="5"/>
      <c r="C4" s="17">
        <v>5.0E9</v>
      </c>
      <c r="D4" s="4"/>
      <c r="E4" s="5"/>
      <c r="F4" s="5"/>
      <c r="G4" s="5"/>
      <c r="H4" s="5"/>
      <c r="I4" s="5"/>
      <c r="J4" s="5"/>
      <c r="K4" s="5"/>
      <c r="L4" s="5"/>
      <c r="M4" s="5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0" customHeight="1">
      <c r="A5" s="15" t="s">
        <v>47</v>
      </c>
      <c r="B5" s="5"/>
      <c r="C5" s="18">
        <v>0.15</v>
      </c>
      <c r="D5" s="4"/>
      <c r="E5" s="5"/>
      <c r="F5" s="5"/>
      <c r="G5" s="5"/>
      <c r="H5" s="5"/>
      <c r="I5" s="5"/>
      <c r="J5" s="19" t="s">
        <v>60</v>
      </c>
      <c r="K5" s="5"/>
      <c r="L5" s="5"/>
      <c r="M5" s="20">
        <f>F19</f>
        <v>159500000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15" t="s">
        <v>74</v>
      </c>
      <c r="B6" s="5"/>
      <c r="C6" s="21">
        <f>C4*C5</f>
        <v>750000000</v>
      </c>
      <c r="E6" s="5"/>
      <c r="F6" s="5"/>
      <c r="G6" s="5"/>
      <c r="H6" s="5"/>
      <c r="I6" s="5"/>
      <c r="J6" s="19" t="s">
        <v>75</v>
      </c>
      <c r="K6" s="5"/>
      <c r="L6" s="5"/>
      <c r="M6" s="22">
        <f>M5*0.3</f>
        <v>47850000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5"/>
      <c r="B7" s="5"/>
      <c r="C7" s="5"/>
      <c r="D7" s="5"/>
      <c r="E7" s="5"/>
      <c r="F7" s="5"/>
      <c r="G7" s="5"/>
      <c r="H7" s="5"/>
      <c r="I7" s="5"/>
      <c r="J7" s="19" t="s">
        <v>77</v>
      </c>
      <c r="K7" s="5"/>
      <c r="L7" s="5"/>
      <c r="M7" s="22">
        <f>M5*0.7</f>
        <v>111650000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4.75" customHeight="1">
      <c r="A8" s="12" t="s">
        <v>78</v>
      </c>
      <c r="B8" s="3"/>
      <c r="C8" s="3"/>
      <c r="D8" s="3"/>
      <c r="E8" s="3"/>
      <c r="F8" s="3"/>
      <c r="G8" s="3"/>
      <c r="H8" s="4"/>
      <c r="I8" s="5"/>
      <c r="J8" s="5"/>
      <c r="K8" s="5"/>
      <c r="L8" s="5"/>
      <c r="M8" s="5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7.75" customHeight="1">
      <c r="A9" s="23" t="s">
        <v>79</v>
      </c>
      <c r="B9" s="23" t="s">
        <v>80</v>
      </c>
      <c r="C9" s="23" t="s">
        <v>81</v>
      </c>
      <c r="D9" s="23" t="s">
        <v>82</v>
      </c>
      <c r="E9" s="23" t="s">
        <v>83</v>
      </c>
      <c r="F9" s="23" t="s">
        <v>84</v>
      </c>
      <c r="G9" s="23" t="s">
        <v>85</v>
      </c>
      <c r="H9" s="23" t="s">
        <v>86</v>
      </c>
      <c r="I9" s="5"/>
      <c r="J9" s="25" t="s">
        <v>87</v>
      </c>
      <c r="K9" s="3"/>
      <c r="L9" s="3"/>
      <c r="M9" s="3"/>
      <c r="N9" s="3"/>
      <c r="O9" s="4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26" t="s">
        <v>88</v>
      </c>
      <c r="B10" s="27">
        <f t="shared" ref="B10:B23" si="1">C10/C$5</f>
        <v>0.4</v>
      </c>
      <c r="C10" s="29">
        <v>0.06</v>
      </c>
      <c r="D10" s="31">
        <f t="shared" ref="D10:D19" si="2">C10*$C$4</f>
        <v>300000000</v>
      </c>
      <c r="E10" s="31">
        <f>'5. Nhật ký Hợp đồng'!S5</f>
        <v>30000000</v>
      </c>
      <c r="F10" s="31">
        <f t="shared" ref="F10:F19" si="3">D10+E10</f>
        <v>330000000</v>
      </c>
      <c r="G10" s="31">
        <f>'5. Nhật ký Hợp đồng'!T5</f>
        <v>30000000</v>
      </c>
      <c r="H10" s="31">
        <f t="shared" ref="H10:H19" si="4">F10-G10</f>
        <v>300000000</v>
      </c>
      <c r="I10" s="5"/>
      <c r="J10" s="33" t="s">
        <v>53</v>
      </c>
      <c r="K10" s="33" t="s">
        <v>93</v>
      </c>
      <c r="L10" s="33" t="s">
        <v>94</v>
      </c>
      <c r="M10" s="34" t="s">
        <v>95</v>
      </c>
      <c r="N10" s="35" t="s">
        <v>96</v>
      </c>
      <c r="O10" s="4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36" t="s">
        <v>97</v>
      </c>
      <c r="B11" s="37">
        <f t="shared" si="1"/>
        <v>0.06666666667</v>
      </c>
      <c r="C11" s="38">
        <v>0.01</v>
      </c>
      <c r="D11" s="31">
        <f t="shared" si="2"/>
        <v>50000000</v>
      </c>
      <c r="E11" s="31">
        <f>'5. Nhật ký Hợp đồng'!S6</f>
        <v>5000000</v>
      </c>
      <c r="F11" s="31">
        <f t="shared" si="3"/>
        <v>55000000</v>
      </c>
      <c r="G11" s="31">
        <f>'5. Nhật ký Hợp đồng'!T6</f>
        <v>5000000</v>
      </c>
      <c r="H11" s="31">
        <f t="shared" si="4"/>
        <v>50000000</v>
      </c>
      <c r="I11" s="5"/>
      <c r="J11" s="39" t="s">
        <v>72</v>
      </c>
      <c r="K11" s="40">
        <v>0.5</v>
      </c>
      <c r="L11" s="41">
        <v>5.0</v>
      </c>
      <c r="M11" s="42">
        <f t="shared" ref="M11:M13" si="5">($M$7*K11)/L11</f>
        <v>11165000</v>
      </c>
      <c r="N11" s="43" t="s">
        <v>106</v>
      </c>
      <c r="O11" s="44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9.5" customHeight="1">
      <c r="A12" s="36" t="s">
        <v>107</v>
      </c>
      <c r="B12" s="37">
        <f t="shared" si="1"/>
        <v>0.03333333333</v>
      </c>
      <c r="C12" s="38">
        <v>0.005</v>
      </c>
      <c r="D12" s="31">
        <f t="shared" si="2"/>
        <v>25000000</v>
      </c>
      <c r="E12" s="31">
        <f>'5. Nhật ký Hợp đồng'!S7</f>
        <v>2500000</v>
      </c>
      <c r="F12" s="31">
        <f t="shared" si="3"/>
        <v>27500000</v>
      </c>
      <c r="G12" s="31">
        <f>'5. Nhật ký Hợp đồng'!T7</f>
        <v>2500000</v>
      </c>
      <c r="H12" s="31">
        <f t="shared" si="4"/>
        <v>25000000</v>
      </c>
      <c r="I12" s="5"/>
      <c r="J12" s="39" t="s">
        <v>115</v>
      </c>
      <c r="K12" s="40">
        <v>0.3</v>
      </c>
      <c r="L12" s="45">
        <v>4.0</v>
      </c>
      <c r="M12" s="42">
        <f t="shared" si="5"/>
        <v>8373750</v>
      </c>
      <c r="N12" s="43" t="s">
        <v>116</v>
      </c>
      <c r="O12" s="44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9.5" customHeight="1">
      <c r="A13" s="26" t="s">
        <v>117</v>
      </c>
      <c r="B13" s="27">
        <f t="shared" si="1"/>
        <v>0.03333333333</v>
      </c>
      <c r="C13" s="29">
        <v>0.005</v>
      </c>
      <c r="D13" s="31">
        <f t="shared" si="2"/>
        <v>25000000</v>
      </c>
      <c r="E13" s="31">
        <f>'5. Nhật ký Hợp đồng'!S8</f>
        <v>2500000</v>
      </c>
      <c r="F13" s="31">
        <f t="shared" si="3"/>
        <v>27500000</v>
      </c>
      <c r="G13" s="31">
        <f>'5. Nhật ký Hợp đồng'!T8</f>
        <v>3000000</v>
      </c>
      <c r="H13" s="31">
        <f t="shared" si="4"/>
        <v>24500000</v>
      </c>
      <c r="I13" s="5"/>
      <c r="J13" s="39" t="s">
        <v>121</v>
      </c>
      <c r="K13" s="40">
        <v>0.2</v>
      </c>
      <c r="L13" s="45">
        <v>6.0</v>
      </c>
      <c r="M13" s="42">
        <f t="shared" si="5"/>
        <v>3721666.667</v>
      </c>
      <c r="N13" s="43" t="s">
        <v>122</v>
      </c>
      <c r="O13" s="44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26" t="s">
        <v>125</v>
      </c>
      <c r="B14" s="27">
        <f t="shared" si="1"/>
        <v>0.01333333333</v>
      </c>
      <c r="C14" s="29">
        <v>0.002</v>
      </c>
      <c r="D14" s="31">
        <f t="shared" si="2"/>
        <v>10000000</v>
      </c>
      <c r="E14" s="31">
        <f>'5. Nhật ký Hợp đồng'!S9</f>
        <v>1000000</v>
      </c>
      <c r="F14" s="31">
        <f t="shared" si="3"/>
        <v>11000000</v>
      </c>
      <c r="G14" s="31">
        <f>'5. Nhật ký Hợp đồng'!T9</f>
        <v>3000000</v>
      </c>
      <c r="H14" s="31">
        <f t="shared" si="4"/>
        <v>8000000</v>
      </c>
      <c r="I14" s="5"/>
      <c r="J14" s="5"/>
      <c r="K14" s="5"/>
      <c r="L14" s="5"/>
      <c r="M14" s="5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9.5" customHeight="1">
      <c r="A15" s="26" t="s">
        <v>128</v>
      </c>
      <c r="B15" s="27">
        <f t="shared" si="1"/>
        <v>0.02</v>
      </c>
      <c r="C15" s="29">
        <v>0.003</v>
      </c>
      <c r="D15" s="31">
        <f t="shared" si="2"/>
        <v>15000000</v>
      </c>
      <c r="E15" s="31">
        <f>'5. Nhật ký Hợp đồng'!S10</f>
        <v>1500000</v>
      </c>
      <c r="F15" s="31">
        <f t="shared" si="3"/>
        <v>16500000</v>
      </c>
      <c r="G15" s="31">
        <f>'5. Nhật ký Hợp đồng'!T10</f>
        <v>16000000</v>
      </c>
      <c r="H15" s="31">
        <f t="shared" si="4"/>
        <v>500000</v>
      </c>
      <c r="I15" s="5"/>
      <c r="J15" s="25" t="s">
        <v>133</v>
      </c>
      <c r="K15" s="3"/>
      <c r="L15" s="3"/>
      <c r="M15" s="3"/>
      <c r="N15" s="3"/>
      <c r="O15" s="4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9.5" customHeight="1">
      <c r="A16" s="26" t="s">
        <v>134</v>
      </c>
      <c r="B16" s="27">
        <f t="shared" si="1"/>
        <v>0.05333333333</v>
      </c>
      <c r="C16" s="29">
        <v>0.008</v>
      </c>
      <c r="D16" s="31">
        <f t="shared" si="2"/>
        <v>40000000</v>
      </c>
      <c r="E16" s="31">
        <f>'5. Nhật ký Hợp đồng'!S11</f>
        <v>4000000</v>
      </c>
      <c r="F16" s="31">
        <f t="shared" si="3"/>
        <v>44000000</v>
      </c>
      <c r="G16" s="31">
        <f>'5. Nhật ký Hợp đồng'!T11</f>
        <v>10000000</v>
      </c>
      <c r="H16" s="31">
        <f t="shared" si="4"/>
        <v>34000000</v>
      </c>
      <c r="I16" s="5"/>
      <c r="J16" s="46" t="s">
        <v>135</v>
      </c>
      <c r="K16" s="47"/>
      <c r="L16" s="47"/>
      <c r="M16" s="47"/>
      <c r="N16" s="47"/>
      <c r="O16" s="44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9.5" customHeight="1">
      <c r="A17" s="26" t="s">
        <v>136</v>
      </c>
      <c r="B17" s="27">
        <f t="shared" si="1"/>
        <v>0.02</v>
      </c>
      <c r="C17" s="29">
        <v>0.003</v>
      </c>
      <c r="D17" s="31">
        <f t="shared" si="2"/>
        <v>15000000</v>
      </c>
      <c r="E17" s="31">
        <f>'5. Nhật ký Hợp đồng'!S12</f>
        <v>1500000</v>
      </c>
      <c r="F17" s="31">
        <f t="shared" si="3"/>
        <v>16500000</v>
      </c>
      <c r="G17" s="31">
        <f>'5. Nhật ký Hợp đồng'!T12</f>
        <v>1500000</v>
      </c>
      <c r="H17" s="31">
        <f t="shared" si="4"/>
        <v>15000000</v>
      </c>
      <c r="I17" s="5"/>
      <c r="J17" s="46" t="s">
        <v>138</v>
      </c>
      <c r="K17" s="47"/>
      <c r="L17" s="47"/>
      <c r="M17" s="47"/>
      <c r="N17" s="47"/>
      <c r="O17" s="44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26" t="s">
        <v>139</v>
      </c>
      <c r="B18" s="27">
        <f t="shared" si="1"/>
        <v>0.36</v>
      </c>
      <c r="C18" s="48">
        <f>sum(C19:C23)</f>
        <v>0.054</v>
      </c>
      <c r="D18" s="31">
        <f t="shared" si="2"/>
        <v>270000000</v>
      </c>
      <c r="E18" s="31">
        <f>'5. Nhật ký Hợp đồng'!S14</f>
        <v>12500000</v>
      </c>
      <c r="F18" s="31">
        <f t="shared" si="3"/>
        <v>282500000</v>
      </c>
      <c r="G18" s="31">
        <f>'5. Nhật ký Hợp đồng'!T14</f>
        <v>0</v>
      </c>
      <c r="H18" s="31">
        <f t="shared" si="4"/>
        <v>282500000</v>
      </c>
      <c r="I18" s="5"/>
      <c r="J18" s="46" t="s">
        <v>147</v>
      </c>
      <c r="K18" s="47"/>
      <c r="L18" s="47"/>
      <c r="M18" s="47"/>
      <c r="N18" s="47"/>
      <c r="O18" s="44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9.5" customHeight="1">
      <c r="A19" s="54" t="s">
        <v>148</v>
      </c>
      <c r="B19" s="37">
        <f t="shared" si="1"/>
        <v>0.1933333333</v>
      </c>
      <c r="C19" s="38">
        <v>0.029</v>
      </c>
      <c r="D19" s="31">
        <f t="shared" si="2"/>
        <v>145000000</v>
      </c>
      <c r="E19" s="31">
        <f>'5. Nhật ký Hợp đồng'!S13</f>
        <v>14500000</v>
      </c>
      <c r="F19" s="31">
        <f t="shared" si="3"/>
        <v>159500000</v>
      </c>
      <c r="G19" s="31">
        <f>'5. Nhật ký Hợp đồng'!T13</f>
        <v>0</v>
      </c>
      <c r="H19" s="31">
        <f t="shared" si="4"/>
        <v>159500000</v>
      </c>
      <c r="I19" s="5"/>
      <c r="J19" s="46" t="s">
        <v>149</v>
      </c>
      <c r="K19" s="47"/>
      <c r="L19" s="47"/>
      <c r="M19" s="47"/>
      <c r="N19" s="47"/>
      <c r="O19" s="44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55" t="s">
        <v>150</v>
      </c>
      <c r="B20" s="37">
        <f t="shared" si="1"/>
        <v>0.03333333333</v>
      </c>
      <c r="C20" s="38">
        <v>0.005</v>
      </c>
      <c r="D20" s="31"/>
      <c r="E20" s="31"/>
      <c r="F20" s="31"/>
      <c r="G20" s="31"/>
      <c r="H20" s="31"/>
      <c r="I20" s="5"/>
      <c r="J20" s="56"/>
      <c r="K20" s="56"/>
      <c r="L20" s="56"/>
      <c r="M20" s="56"/>
      <c r="N20" s="56"/>
      <c r="O20" s="5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9.5" customHeight="1">
      <c r="A21" s="55" t="s">
        <v>153</v>
      </c>
      <c r="B21" s="37">
        <f t="shared" si="1"/>
        <v>0.03333333333</v>
      </c>
      <c r="C21" s="38">
        <v>0.005</v>
      </c>
      <c r="D21" s="31"/>
      <c r="E21" s="31"/>
      <c r="F21" s="31"/>
      <c r="G21" s="31"/>
      <c r="H21" s="31"/>
      <c r="I21" s="5"/>
      <c r="J21" s="56"/>
      <c r="K21" s="56"/>
      <c r="L21" s="56"/>
      <c r="M21" s="56"/>
      <c r="N21" s="56"/>
      <c r="O21" s="5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9.5" customHeight="1">
      <c r="A22" s="55" t="s">
        <v>154</v>
      </c>
      <c r="B22" s="37">
        <f t="shared" si="1"/>
        <v>0.08</v>
      </c>
      <c r="C22" s="38">
        <v>0.012</v>
      </c>
      <c r="D22" s="31"/>
      <c r="E22" s="31"/>
      <c r="F22" s="31"/>
      <c r="G22" s="31"/>
      <c r="H22" s="31"/>
      <c r="I22" s="5"/>
      <c r="J22" s="56"/>
      <c r="K22" s="56"/>
      <c r="L22" s="56"/>
      <c r="M22" s="56"/>
      <c r="N22" s="56"/>
      <c r="O22" s="5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9.5" customHeight="1">
      <c r="A23" s="55" t="s">
        <v>155</v>
      </c>
      <c r="B23" s="37">
        <f t="shared" si="1"/>
        <v>0.02</v>
      </c>
      <c r="C23" s="38">
        <v>0.003</v>
      </c>
      <c r="D23" s="31"/>
      <c r="E23" s="31"/>
      <c r="F23" s="31"/>
      <c r="G23" s="31"/>
      <c r="H23" s="31"/>
      <c r="I23" s="5"/>
      <c r="J23" s="56"/>
      <c r="K23" s="56"/>
      <c r="L23" s="56"/>
      <c r="M23" s="56"/>
      <c r="N23" s="56"/>
      <c r="O23" s="5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0" customHeight="1">
      <c r="A24" s="59" t="s">
        <v>156</v>
      </c>
      <c r="B24" s="61">
        <f t="shared" ref="B24:C24" si="6">SUM(B10:B18)</f>
        <v>1</v>
      </c>
      <c r="C24" s="61">
        <f t="shared" si="6"/>
        <v>0.15</v>
      </c>
      <c r="D24" s="63">
        <f t="shared" ref="D24:H24" si="7">SUM(D10:D23)</f>
        <v>895000000</v>
      </c>
      <c r="E24" s="63">
        <f t="shared" si="7"/>
        <v>75000000</v>
      </c>
      <c r="F24" s="63">
        <f t="shared" si="7"/>
        <v>970000000</v>
      </c>
      <c r="G24" s="63">
        <f t="shared" si="7"/>
        <v>71000000</v>
      </c>
      <c r="H24" s="63">
        <f t="shared" si="7"/>
        <v>899000000</v>
      </c>
      <c r="I24" s="64"/>
      <c r="J24" s="65" t="s">
        <v>157</v>
      </c>
      <c r="K24" s="47"/>
      <c r="L24" s="47"/>
      <c r="M24" s="47"/>
      <c r="N24" s="47"/>
      <c r="O24" s="44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0" customHeight="1">
      <c r="A26" s="12" t="s">
        <v>158</v>
      </c>
      <c r="B26" s="3"/>
      <c r="C26" s="3"/>
      <c r="D26" s="3"/>
      <c r="E26" s="3"/>
      <c r="F26" s="3"/>
      <c r="G26" s="3"/>
      <c r="H26" s="4"/>
      <c r="I26" s="5"/>
      <c r="J26" s="5"/>
      <c r="K26" s="5"/>
      <c r="L26" s="5"/>
      <c r="M26" s="5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0" customHeight="1">
      <c r="A27" s="67" t="s">
        <v>159</v>
      </c>
      <c r="B27" s="67" t="s">
        <v>160</v>
      </c>
      <c r="C27" s="25" t="s">
        <v>161</v>
      </c>
      <c r="D27" s="3"/>
      <c r="E27" s="3"/>
      <c r="F27" s="3"/>
      <c r="G27" s="3"/>
      <c r="H27" s="4"/>
      <c r="I27" s="5"/>
      <c r="J27" s="5"/>
      <c r="K27" s="5"/>
      <c r="L27" s="5"/>
      <c r="M27" s="5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0" customHeight="1">
      <c r="A28" s="39" t="s">
        <v>162</v>
      </c>
      <c r="B28" s="68">
        <v>10.0</v>
      </c>
      <c r="C28" s="43" t="s">
        <v>163</v>
      </c>
      <c r="D28" s="47"/>
      <c r="E28" s="47"/>
      <c r="F28" s="47"/>
      <c r="G28" s="47"/>
      <c r="H28" s="44"/>
      <c r="I28" s="5"/>
      <c r="J28" s="5"/>
      <c r="K28" s="5"/>
      <c r="L28" s="5"/>
      <c r="M28" s="5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0" customHeight="1">
      <c r="A29" s="39" t="s">
        <v>164</v>
      </c>
      <c r="B29" s="68">
        <v>5.0</v>
      </c>
      <c r="C29" s="43" t="s">
        <v>163</v>
      </c>
      <c r="D29" s="47"/>
      <c r="E29" s="47"/>
      <c r="F29" s="47"/>
      <c r="G29" s="47"/>
      <c r="H29" s="44"/>
      <c r="I29" s="5"/>
      <c r="J29" s="5"/>
      <c r="K29" s="5"/>
      <c r="L29" s="5"/>
      <c r="M29" s="5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0" customHeight="1">
      <c r="A30" s="39" t="s">
        <v>165</v>
      </c>
      <c r="B30" s="68">
        <v>3.0</v>
      </c>
      <c r="C30" s="43" t="s">
        <v>163</v>
      </c>
      <c r="D30" s="47"/>
      <c r="E30" s="47"/>
      <c r="F30" s="47"/>
      <c r="G30" s="47"/>
      <c r="H30" s="44"/>
      <c r="I30" s="5"/>
      <c r="J30" s="5"/>
      <c r="K30" s="5"/>
      <c r="L30" s="5"/>
      <c r="M30" s="5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0" customHeight="1">
      <c r="A31" s="39" t="s">
        <v>166</v>
      </c>
      <c r="B31" s="68">
        <v>1.0</v>
      </c>
      <c r="C31" s="43" t="s">
        <v>163</v>
      </c>
      <c r="D31" s="47"/>
      <c r="E31" s="47"/>
      <c r="F31" s="47"/>
      <c r="G31" s="47"/>
      <c r="H31" s="44"/>
      <c r="I31" s="5"/>
      <c r="J31" s="5"/>
      <c r="K31" s="5"/>
      <c r="L31" s="5"/>
      <c r="M31" s="5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</sheetData>
  <mergeCells count="23">
    <mergeCell ref="A1:H1"/>
    <mergeCell ref="J3:O3"/>
    <mergeCell ref="C4:D4"/>
    <mergeCell ref="C5:D5"/>
    <mergeCell ref="C6:D6"/>
    <mergeCell ref="A8:H8"/>
    <mergeCell ref="J9:O9"/>
    <mergeCell ref="N10:O10"/>
    <mergeCell ref="N11:O11"/>
    <mergeCell ref="N12:O12"/>
    <mergeCell ref="N13:O13"/>
    <mergeCell ref="J15:O15"/>
    <mergeCell ref="J16:O16"/>
    <mergeCell ref="J17:O17"/>
    <mergeCell ref="C30:H30"/>
    <mergeCell ref="C31:H31"/>
    <mergeCell ref="J18:O18"/>
    <mergeCell ref="J19:O19"/>
    <mergeCell ref="J24:O24"/>
    <mergeCell ref="A26:H26"/>
    <mergeCell ref="C27:H27"/>
    <mergeCell ref="C28:H28"/>
    <mergeCell ref="C29:H29"/>
  </mergeCells>
  <conditionalFormatting sqref="F10:F23">
    <cfRule type="cellIs" dxfId="0" priority="1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7.0"/>
    <col customWidth="1" min="3" max="3" width="16.0"/>
    <col customWidth="1" min="4" max="4" width="18.0"/>
    <col customWidth="1" min="5" max="6" width="14.0"/>
    <col customWidth="1" min="7" max="8" width="18.0"/>
    <col customWidth="1" min="9" max="9" width="19.86"/>
    <col customWidth="1" min="10" max="10" width="16.57"/>
    <col customWidth="1" min="11" max="11" width="13.43"/>
    <col customWidth="1" min="12" max="12" width="13.0"/>
    <col customWidth="1" min="13" max="13" width="15.29"/>
    <col customWidth="1" min="14" max="14" width="18.57"/>
    <col customWidth="1" min="15" max="15" width="19.0"/>
    <col customWidth="1" min="16" max="16" width="17.0"/>
    <col customWidth="1" min="17" max="18" width="27.0"/>
    <col customWidth="1" min="19" max="19" width="22.0"/>
    <col customWidth="1" min="20" max="20" width="19.0"/>
    <col customWidth="1" min="21" max="21" width="17.0"/>
    <col customWidth="1" min="22" max="23" width="30.0"/>
    <col customWidth="1" min="24" max="24" width="29.0"/>
    <col customWidth="1" min="25" max="25" width="30.0"/>
    <col customWidth="1" min="26" max="26" width="29.0"/>
    <col customWidth="1" min="27" max="27" width="26.0"/>
  </cols>
  <sheetData>
    <row r="1" ht="34.5" customHeight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6"/>
      <c r="U1" s="8" t="s">
        <v>4</v>
      </c>
      <c r="V1" s="9">
        <v>46235.0</v>
      </c>
      <c r="W1" s="6"/>
      <c r="X1" s="6"/>
      <c r="Y1" s="6"/>
      <c r="Z1" s="6"/>
      <c r="AA1" s="6"/>
    </row>
    <row r="2" ht="15.0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8" t="s">
        <v>32</v>
      </c>
      <c r="V2" s="9">
        <v>46265.0</v>
      </c>
      <c r="W2" s="6"/>
      <c r="X2" s="6"/>
      <c r="Y2" s="6"/>
      <c r="Z2" s="6"/>
      <c r="AA2" s="6"/>
    </row>
    <row r="3" ht="27.75" customHeight="1">
      <c r="A3" s="10" t="s">
        <v>7</v>
      </c>
      <c r="B3" s="10" t="s">
        <v>38</v>
      </c>
      <c r="C3" s="10" t="s">
        <v>39</v>
      </c>
      <c r="D3" s="10" t="s">
        <v>40</v>
      </c>
      <c r="E3" s="10" t="s">
        <v>41</v>
      </c>
      <c r="F3" s="10" t="s">
        <v>42</v>
      </c>
      <c r="G3" s="10" t="s">
        <v>43</v>
      </c>
      <c r="H3" s="10" t="s">
        <v>44</v>
      </c>
      <c r="I3" s="10" t="s">
        <v>45</v>
      </c>
      <c r="J3" s="10" t="s">
        <v>46</v>
      </c>
      <c r="K3" s="10" t="s">
        <v>48</v>
      </c>
      <c r="L3" s="10" t="s">
        <v>49</v>
      </c>
      <c r="M3" s="10" t="s">
        <v>50</v>
      </c>
      <c r="N3" s="10" t="s">
        <v>51</v>
      </c>
      <c r="O3" s="10" t="s">
        <v>52</v>
      </c>
      <c r="P3" s="10" t="s">
        <v>53</v>
      </c>
      <c r="Q3" s="10" t="s">
        <v>54</v>
      </c>
      <c r="R3" s="10" t="s">
        <v>56</v>
      </c>
      <c r="S3" s="10" t="s">
        <v>57</v>
      </c>
      <c r="T3" s="10" t="s">
        <v>58</v>
      </c>
      <c r="U3" s="10" t="s">
        <v>59</v>
      </c>
      <c r="V3" s="10" t="s">
        <v>61</v>
      </c>
      <c r="W3" s="10" t="s">
        <v>62</v>
      </c>
      <c r="X3" s="10" t="s">
        <v>63</v>
      </c>
      <c r="Y3" s="10" t="s">
        <v>64</v>
      </c>
      <c r="Z3" s="10" t="s">
        <v>65</v>
      </c>
      <c r="AA3" s="10" t="s">
        <v>66</v>
      </c>
    </row>
    <row r="4" ht="15.0" customHeight="1">
      <c r="A4" s="13" t="s">
        <v>33</v>
      </c>
      <c r="B4" s="16" t="s">
        <v>34</v>
      </c>
      <c r="C4" s="13" t="s">
        <v>33</v>
      </c>
      <c r="D4" s="13" t="s">
        <v>67</v>
      </c>
      <c r="E4" s="13" t="s">
        <v>68</v>
      </c>
      <c r="F4" s="16" t="s">
        <v>69</v>
      </c>
      <c r="G4" s="16" t="s">
        <v>70</v>
      </c>
      <c r="H4" s="13" t="s">
        <v>71</v>
      </c>
      <c r="I4" s="16" t="s">
        <v>71</v>
      </c>
      <c r="J4" s="16" t="s">
        <v>72</v>
      </c>
      <c r="K4" s="16" t="s">
        <v>73</v>
      </c>
      <c r="L4" s="13">
        <f t="shared" ref="L4:L40" si="1">COUNTIF($K$4:$K$40, K4)</f>
        <v>8</v>
      </c>
      <c r="M4" s="13">
        <f t="shared" ref="M4:M40" si="2">COUNTIFS($K$4:$K$40, K4, $J$4:$J$40, "Thành viên")</f>
        <v>5</v>
      </c>
      <c r="N4" s="13">
        <f t="shared" ref="N4:N40" si="3">COUNTIFS($K$4:$K$40, K4, $J$4:$J$40, "Trưởng phòng")</f>
        <v>1</v>
      </c>
      <c r="O4" s="13">
        <f t="shared" ref="O4:O40" si="4">COUNTIFS($K$4:$K$40, K4, $J$4:$J$40, "Phó Giám đốc")</f>
        <v>1</v>
      </c>
      <c r="P4" s="32" t="str">
        <f t="shared" ref="P4:P40" si="5">IF(J4="Giám đốc", IF(AND(L4&gt;=20, O4&gt;=1), "Giám đốc", "Thành viên"), IF(J4="Phó Giám đốc", IF(AND(L4&gt;=10, N4&gt;=1), "Phó Giám đốc", "Thành viên"), IF(J4="Trưởng phòng", IF(L4&gt;=5, "Trưởng phòng", "Thành viên"), "Thành viên")))</f>
        <v>Thành viên</v>
      </c>
      <c r="Q4" s="13">
        <v>0.0</v>
      </c>
      <c r="R4" s="13" t="s">
        <v>55</v>
      </c>
      <c r="S4" s="13" t="s">
        <v>55</v>
      </c>
      <c r="T4" s="13">
        <f>COUNTIFS('4. Chi tiết Sự kiện'!$C$4:$C$103, A4, '4. Chi tiết Sự kiện'!$E$4:$E$103, "Khách mời", '4. Chi tiết Sự kiện'!$H$4:$H$103, "Có", '4. Chi tiết Sự kiện'!$B$4:$B$103, "&gt;="&amp;$V$1, '4. Chi tiết Sự kiện'!$B$4:$B$103, "&lt;="&amp;$V$2)</f>
        <v>0</v>
      </c>
      <c r="U4" s="13">
        <f>COUNTIFS('4. Chi tiết Sự kiện'!$F$4:$F$103, A4, '4. Chi tiết Sự kiện'!$B$4:$B$103, "&gt;="&amp;$V$1, '4. Chi tiết Sự kiện'!$B$4:$B$103, "&lt;="&amp;$V$2)</f>
        <v>4</v>
      </c>
      <c r="V4" s="13">
        <f>COUNTIFS('4. Chi tiết Sự kiện'!$F$4:$F$103, A4, '4. Chi tiết Sự kiện'!$E$4:$E$103, "Khách mời", '4. Chi tiết Sự kiện'!$B$4:$B$103, "&gt;="&amp;$V$1, '4. Chi tiết Sự kiện'!$B$4:$B$103, "&lt;="&amp;$V$2)</f>
        <v>4</v>
      </c>
      <c r="W4" s="24">
        <f>SUMIFS('4. Chi tiết Sự kiện'!$L$4:$L$103, '4. Chi tiết Sự kiện'!$C$4:$C$103, A4, '4. Chi tiết Sự kiện'!$B$4:$B$103, "&gt;="&amp;$V$1, '4. Chi tiết Sự kiện'!$B$4:$B$103, "&lt;="&amp;$V$2)</f>
        <v>0</v>
      </c>
      <c r="X4" s="24">
        <f>SUMIFS('4. Chi tiết Sự kiện'!$M$4:$M$103, '4. Chi tiết Sự kiện'!$C$4:$C$103, A4, '4. Chi tiết Sự kiện'!$B$4:$B$103, "&gt;="&amp;$V$1, '4. Chi tiết Sự kiện'!$B$4:$B$103, "&lt;="&amp;$V$2)</f>
        <v>500000</v>
      </c>
      <c r="Y4" s="24">
        <f>SUMIFS('5. Nhật ký Hợp đồng'!$K$4:$K$103, '5. Nhật ký Hợp đồng'!$E$4:$E$103, A4, '5. Nhật ký Hợp đồng'!$N$4:$N$103, "Đã duyệt", '5. Nhật ký Hợp đồng'!$B$4:$B$103, "&gt;="&amp;$V$1, '5. Nhật ký Hợp đồng'!$B$4:$B$103, "&lt;="&amp;$V$2) + SUMIFS('5. Nhật ký Hợp đồng'!$L$4:$L$103, '5. Nhật ký Hợp đồng'!$G$4:$G$103, A4, '5. Nhật ký Hợp đồng'!$N$4:$N$103, "Đã duyệt", '5. Nhật ký Hợp đồng'!$B$4:$B$103, "&gt;="&amp;$V$1, '5. Nhật ký Hợp đồng'!$B$4:$B$103, "&lt;="&amp;$V$2) + SUMIFS('5. Nhật ký Hợp đồng'!$M$4:$M$103, '5. Nhật ký Hợp đồng'!$I$4:$I$103, A4, '5. Nhật ký Hợp đồng'!$N$4:$N$103, "Đã duyệt", '5. Nhật ký Hợp đồng'!$B$4:$B$103, "&gt;="&amp;$V$1, '5. Nhật ký Hợp đồng'!$B$4:$B$103, "&lt;="&amp;$V$2)</f>
        <v>13000000</v>
      </c>
      <c r="Z4" s="24">
        <f>SUMIFS('7. Nhật ký Đào tạo'!$L$4:$L$103, '7. Nhật ký Đào tạo'!$B$4:$B$103, A4, '7. Nhật ký Đào tạo'!$K$4:$K$103, "Đã duyệt", '7. Nhật ký Đào tạo'!$M$4:$M$103, "&gt;="&amp;$V$1, '7. Nhật ký Đào tạo'!$M$4:$M$103, "&lt;="&amp;$V$2)</f>
        <v>7543859.649</v>
      </c>
      <c r="AA4" s="30">
        <f t="shared" ref="AA4:AA40" si="6">X4+Y4+Z4-W4</f>
        <v>21043859.65</v>
      </c>
    </row>
    <row r="5" ht="15.0" customHeight="1">
      <c r="A5" s="13" t="s">
        <v>98</v>
      </c>
      <c r="B5" s="16" t="s">
        <v>99</v>
      </c>
      <c r="C5" s="13" t="s">
        <v>98</v>
      </c>
      <c r="D5" s="13" t="s">
        <v>143</v>
      </c>
      <c r="E5" s="13" t="s">
        <v>144</v>
      </c>
      <c r="F5" s="16" t="s">
        <v>145</v>
      </c>
      <c r="G5" s="16" t="s">
        <v>146</v>
      </c>
      <c r="H5" s="13" t="s">
        <v>33</v>
      </c>
      <c r="I5" s="16" t="s">
        <v>34</v>
      </c>
      <c r="J5" s="16" t="s">
        <v>115</v>
      </c>
      <c r="K5" s="16" t="s">
        <v>73</v>
      </c>
      <c r="L5" s="13">
        <f t="shared" si="1"/>
        <v>8</v>
      </c>
      <c r="M5" s="13">
        <f t="shared" si="2"/>
        <v>5</v>
      </c>
      <c r="N5" s="13">
        <f t="shared" si="3"/>
        <v>1</v>
      </c>
      <c r="O5" s="13">
        <f t="shared" si="4"/>
        <v>1</v>
      </c>
      <c r="P5" s="32" t="str">
        <f t="shared" si="5"/>
        <v>Thành viên</v>
      </c>
      <c r="Q5" s="13">
        <v>0.0</v>
      </c>
      <c r="R5" s="13" t="s">
        <v>55</v>
      </c>
      <c r="S5" s="13" t="s">
        <v>55</v>
      </c>
      <c r="T5" s="13">
        <f>COUNTIFS('4. Chi tiết Sự kiện'!$C$4:$C$103, A5, '4. Chi tiết Sự kiện'!$E$4:$E$103, "Khách mời", '4. Chi tiết Sự kiện'!$H$4:$H$103, "Có", '4. Chi tiết Sự kiện'!$B$4:$B$103, "&gt;="&amp;$V$1, '4. Chi tiết Sự kiện'!$B$4:$B$103, "&lt;="&amp;$V$2)</f>
        <v>0</v>
      </c>
      <c r="U5" s="13">
        <f>COUNTIFS('4. Chi tiết Sự kiện'!$F$4:$F$103, A5, '4. Chi tiết Sự kiện'!$B$4:$B$103, "&gt;="&amp;$V$1, '4. Chi tiết Sự kiện'!$B$4:$B$103, "&lt;="&amp;$V$2)</f>
        <v>5</v>
      </c>
      <c r="V5" s="13">
        <f>COUNTIFS('4. Chi tiết Sự kiện'!$F$4:$F$103, A5, '4. Chi tiết Sự kiện'!$E$4:$E$103, "Khách mời", '4. Chi tiết Sự kiện'!$B$4:$B$103, "&gt;="&amp;$V$1, '4. Chi tiết Sự kiện'!$B$4:$B$103, "&lt;="&amp;$V$2)</f>
        <v>4</v>
      </c>
      <c r="W5" s="24">
        <f>SUMIFS('4. Chi tiết Sự kiện'!$L$4:$L$103, '4. Chi tiết Sự kiện'!$C$4:$C$103, A5, '4. Chi tiết Sự kiện'!$B$4:$B$103, "&gt;="&amp;$V$1, '4. Chi tiết Sự kiện'!$B$4:$B$103, "&lt;="&amp;$V$2)</f>
        <v>0</v>
      </c>
      <c r="X5" s="24">
        <f>SUMIFS('4. Chi tiết Sự kiện'!$M$4:$M$103, '4. Chi tiết Sự kiện'!$C$4:$C$103, A5, '4. Chi tiết Sự kiện'!$B$4:$B$103, "&gt;="&amp;$V$1, '4. Chi tiết Sự kiện'!$B$4:$B$103, "&lt;="&amp;$V$2)</f>
        <v>700000</v>
      </c>
      <c r="Y5" s="24">
        <f>SUMIFS('5. Nhật ký Hợp đồng'!$K$4:$K$103, '5. Nhật ký Hợp đồng'!$E$4:$E$103, A5, '5. Nhật ký Hợp đồng'!$N$4:$N$103, "Đã duyệt", '5. Nhật ký Hợp đồng'!$B$4:$B$103, "&gt;="&amp;$V$1, '5. Nhật ký Hợp đồng'!$B$4:$B$103, "&lt;="&amp;$V$2) + SUMIFS('5. Nhật ký Hợp đồng'!$L$4:$L$103, '5. Nhật ký Hợp đồng'!$G$4:$G$103, A5, '5. Nhật ký Hợp đồng'!$N$4:$N$103, "Đã duyệt", '5. Nhật ký Hợp đồng'!$B$4:$B$103, "&gt;="&amp;$V$1, '5. Nhật ký Hợp đồng'!$B$4:$B$103, "&lt;="&amp;$V$2) + SUMIFS('5. Nhật ký Hợp đồng'!$M$4:$M$103, '5. Nhật ký Hợp đồng'!$I$4:$I$103, A5, '5. Nhật ký Hợp đồng'!$N$4:$N$103, "Đã duyệt", '5. Nhật ký Hợp đồng'!$B$4:$B$103, "&gt;="&amp;$V$1, '5. Nhật ký Hợp đồng'!$B$4:$B$103, "&lt;="&amp;$V$2)</f>
        <v>10000000</v>
      </c>
      <c r="Z5" s="24">
        <f>SUMIFS('7. Nhật ký Đào tạo'!$L$4:$L$103, '7. Nhật ký Đào tạo'!$B$4:$B$103, A5, '7. Nhật ký Đào tạo'!$K$4:$K$103, "Đã duyệt", '7. Nhật ký Đào tạo'!$M$4:$M$103, "&gt;="&amp;$V$1, '7. Nhật ký Đào tạo'!$M$4:$M$103, "&lt;="&amp;$V$2)</f>
        <v>3611111.111</v>
      </c>
      <c r="AA5" s="30">
        <f t="shared" si="6"/>
        <v>14311111.11</v>
      </c>
    </row>
    <row r="6" ht="15.0" customHeight="1">
      <c r="A6" s="13" t="s">
        <v>103</v>
      </c>
      <c r="B6" s="16" t="s">
        <v>104</v>
      </c>
      <c r="C6" s="13" t="s">
        <v>103</v>
      </c>
      <c r="D6" s="13" t="s">
        <v>167</v>
      </c>
      <c r="E6" s="13" t="s">
        <v>168</v>
      </c>
      <c r="F6" s="16" t="s">
        <v>169</v>
      </c>
      <c r="G6" s="16" t="s">
        <v>170</v>
      </c>
      <c r="H6" s="13" t="s">
        <v>98</v>
      </c>
      <c r="I6" s="16" t="s">
        <v>99</v>
      </c>
      <c r="J6" s="16" t="s">
        <v>121</v>
      </c>
      <c r="K6" s="16" t="s">
        <v>73</v>
      </c>
      <c r="L6" s="13">
        <f t="shared" si="1"/>
        <v>8</v>
      </c>
      <c r="M6" s="13">
        <f t="shared" si="2"/>
        <v>5</v>
      </c>
      <c r="N6" s="13">
        <f t="shared" si="3"/>
        <v>1</v>
      </c>
      <c r="O6" s="13">
        <f t="shared" si="4"/>
        <v>1</v>
      </c>
      <c r="P6" s="32" t="str">
        <f t="shared" si="5"/>
        <v>Trưởng phòng</v>
      </c>
      <c r="Q6" s="13">
        <v>0.0</v>
      </c>
      <c r="R6" s="13" t="s">
        <v>55</v>
      </c>
      <c r="S6" s="13" t="s">
        <v>55</v>
      </c>
      <c r="T6" s="13">
        <f>COUNTIFS('4. Chi tiết Sự kiện'!$C$4:$C$103, A6, '4. Chi tiết Sự kiện'!$E$4:$E$103, "Khách mời", '4. Chi tiết Sự kiện'!$H$4:$H$103, "Có", '4. Chi tiết Sự kiện'!$B$4:$B$103, "&gt;="&amp;$V$1, '4. Chi tiết Sự kiện'!$B$4:$B$103, "&lt;="&amp;$V$2)</f>
        <v>0</v>
      </c>
      <c r="U6" s="13">
        <f>COUNTIFS('4. Chi tiết Sự kiện'!$F$4:$F$103, A6, '4. Chi tiết Sự kiện'!$B$4:$B$103, "&gt;="&amp;$V$1, '4. Chi tiết Sự kiện'!$B$4:$B$103, "&lt;="&amp;$V$2)</f>
        <v>0</v>
      </c>
      <c r="V6" s="13">
        <f>COUNTIFS('4. Chi tiết Sự kiện'!$F$4:$F$103, A6, '4. Chi tiết Sự kiện'!$E$4:$E$103, "Khách mời", '4. Chi tiết Sự kiện'!$B$4:$B$103, "&gt;="&amp;$V$1, '4. Chi tiết Sự kiện'!$B$4:$B$103, "&lt;="&amp;$V$2)</f>
        <v>0</v>
      </c>
      <c r="W6" s="24">
        <f>SUMIFS('4. Chi tiết Sự kiện'!$L$4:$L$103, '4. Chi tiết Sự kiện'!$C$4:$C$103, A6, '4. Chi tiết Sự kiện'!$B$4:$B$103, "&gt;="&amp;$V$1, '4. Chi tiết Sự kiện'!$B$4:$B$103, "&lt;="&amp;$V$2)</f>
        <v>0</v>
      </c>
      <c r="X6" s="24">
        <f>SUMIFS('4. Chi tiết Sự kiện'!$M$4:$M$103, '4. Chi tiết Sự kiện'!$C$4:$C$103, A6, '4. Chi tiết Sự kiện'!$B$4:$B$103, "&gt;="&amp;$V$1, '4. Chi tiết Sự kiện'!$B$4:$B$103, "&lt;="&amp;$V$2)</f>
        <v>600000</v>
      </c>
      <c r="Y6" s="24">
        <f>SUMIFS('5. Nhật ký Hợp đồng'!$K$4:$K$103, '5. Nhật ký Hợp đồng'!$E$4:$E$103, A6, '5. Nhật ký Hợp đồng'!$N$4:$N$103, "Đã duyệt", '5. Nhật ký Hợp đồng'!$B$4:$B$103, "&gt;="&amp;$V$1, '5. Nhật ký Hợp đồng'!$B$4:$B$103, "&lt;="&amp;$V$2) + SUMIFS('5. Nhật ký Hợp đồng'!$L$4:$L$103, '5. Nhật ký Hợp đồng'!$G$4:$G$103, A6, '5. Nhật ký Hợp đồng'!$N$4:$N$103, "Đã duyệt", '5. Nhật ký Hợp đồng'!$B$4:$B$103, "&gt;="&amp;$V$1, '5. Nhật ký Hợp đồng'!$B$4:$B$103, "&lt;="&amp;$V$2) + SUMIFS('5. Nhật ký Hợp đồng'!$M$4:$M$103, '5. Nhật ký Hợp đồng'!$I$4:$I$103, A6, '5. Nhật ký Hợp đồng'!$N$4:$N$103, "Đã duyệt", '5. Nhật ký Hợp đồng'!$B$4:$B$103, "&gt;="&amp;$V$1, '5. Nhật ký Hợp đồng'!$B$4:$B$103, "&lt;="&amp;$V$2)</f>
        <v>1750000</v>
      </c>
      <c r="Z6" s="24">
        <f>SUMIFS('7. Nhật ký Đào tạo'!$L$4:$L$103, '7. Nhật ký Đào tạo'!$B$4:$B$103, A6, '7. Nhật ký Đào tạo'!$K$4:$K$103, "Đã duyệt", '7. Nhật ký Đào tạo'!$M$4:$M$103, "&gt;="&amp;$V$1, '7. Nhật ký Đào tạo'!$M$4:$M$103, "&lt;="&amp;$V$2)</f>
        <v>921052.6316</v>
      </c>
      <c r="AA6" s="30">
        <f t="shared" si="6"/>
        <v>3271052.632</v>
      </c>
    </row>
    <row r="7" ht="15.0" customHeight="1">
      <c r="A7" s="13" t="s">
        <v>108</v>
      </c>
      <c r="B7" s="16" t="s">
        <v>109</v>
      </c>
      <c r="C7" s="13" t="s">
        <v>108</v>
      </c>
      <c r="D7" s="13" t="s">
        <v>171</v>
      </c>
      <c r="E7" s="13" t="s">
        <v>172</v>
      </c>
      <c r="F7" s="16" t="s">
        <v>173</v>
      </c>
      <c r="G7" s="16" t="s">
        <v>174</v>
      </c>
      <c r="H7" s="13" t="s">
        <v>98</v>
      </c>
      <c r="I7" s="16" t="s">
        <v>99</v>
      </c>
      <c r="J7" s="16" t="s">
        <v>175</v>
      </c>
      <c r="K7" s="16" t="s">
        <v>73</v>
      </c>
      <c r="L7" s="13">
        <f t="shared" si="1"/>
        <v>8</v>
      </c>
      <c r="M7" s="13">
        <f t="shared" si="2"/>
        <v>5</v>
      </c>
      <c r="N7" s="13">
        <f t="shared" si="3"/>
        <v>1</v>
      </c>
      <c r="O7" s="13">
        <f t="shared" si="4"/>
        <v>1</v>
      </c>
      <c r="P7" s="32" t="str">
        <f t="shared" si="5"/>
        <v>Thành viên</v>
      </c>
      <c r="Q7" s="13">
        <v>1.0</v>
      </c>
      <c r="R7" s="13" t="s">
        <v>55</v>
      </c>
      <c r="S7" s="13" t="s">
        <v>55</v>
      </c>
      <c r="T7" s="13">
        <f>COUNTIFS('4. Chi tiết Sự kiện'!$C$4:$C$103, A7, '4. Chi tiết Sự kiện'!$E$4:$E$103, "Khách mời", '4. Chi tiết Sự kiện'!$H$4:$H$103, "Có", '4. Chi tiết Sự kiện'!$B$4:$B$103, "&gt;="&amp;$V$1, '4. Chi tiết Sự kiện'!$B$4:$B$103, "&lt;="&amp;$V$2)</f>
        <v>0</v>
      </c>
      <c r="U7" s="13">
        <f>COUNTIFS('4. Chi tiết Sự kiện'!$F$4:$F$103, A7, '4. Chi tiết Sự kiện'!$B$4:$B$103, "&gt;="&amp;$V$1, '4. Chi tiết Sự kiện'!$B$4:$B$103, "&lt;="&amp;$V$2)</f>
        <v>0</v>
      </c>
      <c r="V7" s="13">
        <f>COUNTIFS('4. Chi tiết Sự kiện'!$F$4:$F$103, A7, '4. Chi tiết Sự kiện'!$E$4:$E$103, "Khách mời", '4. Chi tiết Sự kiện'!$B$4:$B$103, "&gt;="&amp;$V$1, '4. Chi tiết Sự kiện'!$B$4:$B$103, "&lt;="&amp;$V$2)</f>
        <v>0</v>
      </c>
      <c r="W7" s="24">
        <f>SUMIFS('4. Chi tiết Sự kiện'!$L$4:$L$103, '4. Chi tiết Sự kiện'!$C$4:$C$103, A7, '4. Chi tiết Sự kiện'!$B$4:$B$103, "&gt;="&amp;$V$1, '4. Chi tiết Sự kiện'!$B$4:$B$103, "&lt;="&amp;$V$2)</f>
        <v>0</v>
      </c>
      <c r="X7" s="24">
        <f>SUMIFS('4. Chi tiết Sự kiện'!$M$4:$M$103, '4. Chi tiết Sự kiện'!$C$4:$C$103, A7, '4. Chi tiết Sự kiện'!$B$4:$B$103, "&gt;="&amp;$V$1, '4. Chi tiết Sự kiện'!$B$4:$B$103, "&lt;="&amp;$V$2)</f>
        <v>450000</v>
      </c>
      <c r="Y7" s="24">
        <f>SUMIFS('5. Nhật ký Hợp đồng'!$K$4:$K$103, '5. Nhật ký Hợp đồng'!$E$4:$E$103, A7, '5. Nhật ký Hợp đồng'!$N$4:$N$103, "Đã duyệt", '5. Nhật ký Hợp đồng'!$B$4:$B$103, "&gt;="&amp;$V$1, '5. Nhật ký Hợp đồng'!$B$4:$B$103, "&lt;="&amp;$V$2) + SUMIFS('5. Nhật ký Hợp đồng'!$L$4:$L$103, '5. Nhật ký Hợp đồng'!$G$4:$G$103, A7, '5. Nhật ký Hợp đồng'!$N$4:$N$103, "Đã duyệt", '5. Nhật ký Hợp đồng'!$B$4:$B$103, "&gt;="&amp;$V$1, '5. Nhật ký Hợp đồng'!$B$4:$B$103, "&lt;="&amp;$V$2) + SUMIFS('5. Nhật ký Hợp đồng'!$M$4:$M$103, '5. Nhật ký Hợp đồng'!$I$4:$I$103, A7, '5. Nhật ký Hợp đồng'!$N$4:$N$103, "Đã duyệt", '5. Nhật ký Hợp đồng'!$B$4:$B$103, "&gt;="&amp;$V$1, '5. Nhật ký Hợp đồng'!$B$4:$B$103, "&lt;="&amp;$V$2)</f>
        <v>750000</v>
      </c>
      <c r="Z7" s="24">
        <f>SUMIFS('7. Nhật ký Đào tạo'!$L$4:$L$103, '7. Nhật ký Đào tạo'!$B$4:$B$103, A7, '7. Nhật ký Đào tạo'!$K$4:$K$103, "Đã duyệt", '7. Nhật ký Đào tạo'!$M$4:$M$103, "&gt;="&amp;$V$1, '7. Nhật ký Đào tạo'!$M$4:$M$103, "&lt;="&amp;$V$2)</f>
        <v>2105263.158</v>
      </c>
      <c r="AA7" s="30">
        <f t="shared" si="6"/>
        <v>3305263.158</v>
      </c>
    </row>
    <row r="8" ht="15.0" customHeight="1">
      <c r="A8" s="13" t="s">
        <v>113</v>
      </c>
      <c r="B8" s="16" t="s">
        <v>114</v>
      </c>
      <c r="C8" s="13" t="s">
        <v>113</v>
      </c>
      <c r="D8" s="13" t="s">
        <v>176</v>
      </c>
      <c r="E8" s="13" t="s">
        <v>177</v>
      </c>
      <c r="F8" s="16" t="s">
        <v>69</v>
      </c>
      <c r="G8" s="16" t="s">
        <v>178</v>
      </c>
      <c r="H8" s="13" t="s">
        <v>103</v>
      </c>
      <c r="I8" s="16" t="s">
        <v>104</v>
      </c>
      <c r="J8" s="16" t="s">
        <v>175</v>
      </c>
      <c r="K8" s="16" t="s">
        <v>73</v>
      </c>
      <c r="L8" s="13">
        <f t="shared" si="1"/>
        <v>8</v>
      </c>
      <c r="M8" s="13">
        <f t="shared" si="2"/>
        <v>5</v>
      </c>
      <c r="N8" s="13">
        <f t="shared" si="3"/>
        <v>1</v>
      </c>
      <c r="O8" s="13">
        <f t="shared" si="4"/>
        <v>1</v>
      </c>
      <c r="P8" s="32" t="str">
        <f t="shared" si="5"/>
        <v>Thành viên</v>
      </c>
      <c r="Q8" s="13">
        <v>0.0</v>
      </c>
      <c r="R8" s="13" t="s">
        <v>55</v>
      </c>
      <c r="S8" s="13" t="s">
        <v>55</v>
      </c>
      <c r="T8" s="13">
        <f>COUNTIFS('4. Chi tiết Sự kiện'!$C$4:$C$103, A8, '4. Chi tiết Sự kiện'!$E$4:$E$103, "Khách mời", '4. Chi tiết Sự kiện'!$H$4:$H$103, "Có", '4. Chi tiết Sự kiện'!$B$4:$B$103, "&gt;="&amp;$V$1, '4. Chi tiết Sự kiện'!$B$4:$B$103, "&lt;="&amp;$V$2)</f>
        <v>0</v>
      </c>
      <c r="U8" s="13">
        <f>COUNTIFS('4. Chi tiết Sự kiện'!$F$4:$F$103, A8, '4. Chi tiết Sự kiện'!$B$4:$B$103, "&gt;="&amp;$V$1, '4. Chi tiết Sự kiện'!$B$4:$B$103, "&lt;="&amp;$V$2)</f>
        <v>0</v>
      </c>
      <c r="V8" s="13">
        <f>COUNTIFS('4. Chi tiết Sự kiện'!$F$4:$F$103, A8, '4. Chi tiết Sự kiện'!$E$4:$E$103, "Khách mời", '4. Chi tiết Sự kiện'!$B$4:$B$103, "&gt;="&amp;$V$1, '4. Chi tiết Sự kiện'!$B$4:$B$103, "&lt;="&amp;$V$2)</f>
        <v>0</v>
      </c>
      <c r="W8" s="24">
        <f>SUMIFS('4. Chi tiết Sự kiện'!$L$4:$L$103, '4. Chi tiết Sự kiện'!$C$4:$C$103, A8, '4. Chi tiết Sự kiện'!$B$4:$B$103, "&gt;="&amp;$V$1, '4. Chi tiết Sự kiện'!$B$4:$B$103, "&lt;="&amp;$V$2)</f>
        <v>0</v>
      </c>
      <c r="X8" s="24">
        <f>SUMIFS('4. Chi tiết Sự kiện'!$M$4:$M$103, '4. Chi tiết Sự kiện'!$C$4:$C$103, A8, '4. Chi tiết Sự kiện'!$B$4:$B$103, "&gt;="&amp;$V$1, '4. Chi tiết Sự kiện'!$B$4:$B$103, "&lt;="&amp;$V$2)</f>
        <v>450000</v>
      </c>
      <c r="Y8" s="24">
        <f>SUMIFS('5. Nhật ký Hợp đồng'!$K$4:$K$103, '5. Nhật ký Hợp đồng'!$E$4:$E$103, A8, '5. Nhật ký Hợp đồng'!$N$4:$N$103, "Đã duyệt", '5. Nhật ký Hợp đồng'!$B$4:$B$103, "&gt;="&amp;$V$1, '5. Nhật ký Hợp đồng'!$B$4:$B$103, "&lt;="&amp;$V$2) + SUMIFS('5. Nhật ký Hợp đồng'!$L$4:$L$103, '5. Nhật ký Hợp đồng'!$G$4:$G$103, A8, '5. Nhật ký Hợp đồng'!$N$4:$N$103, "Đã duyệt", '5. Nhật ký Hợp đồng'!$B$4:$B$103, "&gt;="&amp;$V$1, '5. Nhật ký Hợp đồng'!$B$4:$B$103, "&lt;="&amp;$V$2) + SUMIFS('5. Nhật ký Hợp đồng'!$M$4:$M$103, '5. Nhật ký Hợp đồng'!$I$4:$I$103, A8, '5. Nhật ký Hợp đồng'!$N$4:$N$103, "Đã duyệt", '5. Nhật ký Hợp đồng'!$B$4:$B$103, "&gt;="&amp;$V$1, '5. Nhật ký Hợp đồng'!$B$4:$B$103, "&lt;="&amp;$V$2)</f>
        <v>0</v>
      </c>
      <c r="Z8" s="24">
        <f>SUMIFS('7. Nhật ký Đào tạo'!$L$4:$L$103, '7. Nhật ký Đào tạo'!$B$4:$B$103, A8, '7. Nhật ký Đào tạo'!$K$4:$K$103, "Đã duyệt", '7. Nhật ký Đào tạo'!$M$4:$M$103, "&gt;="&amp;$V$1, '7. Nhật ký Đào tạo'!$M$4:$M$103, "&lt;="&amp;$V$2)</f>
        <v>1818713.45</v>
      </c>
      <c r="AA8" s="30">
        <f t="shared" si="6"/>
        <v>2268713.45</v>
      </c>
    </row>
    <row r="9" ht="15.0" customHeight="1">
      <c r="A9" s="13" t="s">
        <v>179</v>
      </c>
      <c r="B9" s="16" t="s">
        <v>180</v>
      </c>
      <c r="C9" s="13" t="s">
        <v>179</v>
      </c>
      <c r="D9" s="13" t="s">
        <v>181</v>
      </c>
      <c r="E9" s="13" t="s">
        <v>182</v>
      </c>
      <c r="F9" s="16" t="s">
        <v>69</v>
      </c>
      <c r="G9" s="16" t="s">
        <v>183</v>
      </c>
      <c r="H9" s="13" t="s">
        <v>103</v>
      </c>
      <c r="I9" s="16" t="s">
        <v>104</v>
      </c>
      <c r="J9" s="16" t="s">
        <v>175</v>
      </c>
      <c r="K9" s="16" t="s">
        <v>73</v>
      </c>
      <c r="L9" s="13">
        <f t="shared" si="1"/>
        <v>8</v>
      </c>
      <c r="M9" s="13">
        <f t="shared" si="2"/>
        <v>5</v>
      </c>
      <c r="N9" s="13">
        <f t="shared" si="3"/>
        <v>1</v>
      </c>
      <c r="O9" s="13">
        <f t="shared" si="4"/>
        <v>1</v>
      </c>
      <c r="P9" s="32" t="str">
        <f t="shared" si="5"/>
        <v>Thành viên</v>
      </c>
      <c r="Q9" s="13">
        <v>2.0</v>
      </c>
      <c r="R9" s="13" t="s">
        <v>55</v>
      </c>
      <c r="S9" s="13" t="s">
        <v>55</v>
      </c>
      <c r="T9" s="13">
        <f>COUNTIFS('4. Chi tiết Sự kiện'!$C$4:$C$103, A9, '4. Chi tiết Sự kiện'!$E$4:$E$103, "Khách mời", '4. Chi tiết Sự kiện'!$H$4:$H$103, "Có", '4. Chi tiết Sự kiện'!$B$4:$B$103, "&gt;="&amp;$V$1, '4. Chi tiết Sự kiện'!$B$4:$B$103, "&lt;="&amp;$V$2)</f>
        <v>0</v>
      </c>
      <c r="U9" s="13">
        <f>COUNTIFS('4. Chi tiết Sự kiện'!$F$4:$F$103, A9, '4. Chi tiết Sự kiện'!$B$4:$B$103, "&gt;="&amp;$V$1, '4. Chi tiết Sự kiện'!$B$4:$B$103, "&lt;="&amp;$V$2)</f>
        <v>0</v>
      </c>
      <c r="V9" s="13">
        <f>COUNTIFS('4. Chi tiết Sự kiện'!$F$4:$F$103, A9, '4. Chi tiết Sự kiện'!$E$4:$E$103, "Khách mời", '4. Chi tiết Sự kiện'!$B$4:$B$103, "&gt;="&amp;$V$1, '4. Chi tiết Sự kiện'!$B$4:$B$103, "&lt;="&amp;$V$2)</f>
        <v>0</v>
      </c>
      <c r="W9" s="24">
        <f>SUMIFS('4. Chi tiết Sự kiện'!$L$4:$L$103, '4. Chi tiết Sự kiện'!$C$4:$C$103, A9, '4. Chi tiết Sự kiện'!$B$4:$B$103, "&gt;="&amp;$V$1, '4. Chi tiết Sự kiện'!$B$4:$B$103, "&lt;="&amp;$V$2)</f>
        <v>0</v>
      </c>
      <c r="X9" s="24">
        <f>SUMIFS('4. Chi tiết Sự kiện'!$M$4:$M$103, '4. Chi tiết Sự kiện'!$C$4:$C$103, A9, '4. Chi tiết Sự kiện'!$B$4:$B$103, "&gt;="&amp;$V$1, '4. Chi tiết Sự kiện'!$B$4:$B$103, "&lt;="&amp;$V$2)</f>
        <v>0</v>
      </c>
      <c r="Y9" s="24">
        <f>SUMIFS('5. Nhật ký Hợp đồng'!$K$4:$K$103, '5. Nhật ký Hợp đồng'!$E$4:$E$103, A9, '5. Nhật ký Hợp đồng'!$N$4:$N$103, "Đã duyệt", '5. Nhật ký Hợp đồng'!$B$4:$B$103, "&gt;="&amp;$V$1, '5. Nhật ký Hợp đồng'!$B$4:$B$103, "&lt;="&amp;$V$2) + SUMIFS('5. Nhật ký Hợp đồng'!$L$4:$L$103, '5. Nhật ký Hợp đồng'!$G$4:$G$103, A9, '5. Nhật ký Hợp đồng'!$N$4:$N$103, "Đã duyệt", '5. Nhật ký Hợp đồng'!$B$4:$B$103, "&gt;="&amp;$V$1, '5. Nhật ký Hợp đồng'!$B$4:$B$103, "&lt;="&amp;$V$2) + SUMIFS('5. Nhật ký Hợp đồng'!$M$4:$M$103, '5. Nhật ký Hợp đồng'!$I$4:$I$103, A9, '5. Nhật ký Hợp đồng'!$N$4:$N$103, "Đã duyệt", '5. Nhật ký Hợp đồng'!$B$4:$B$103, "&gt;="&amp;$V$1, '5. Nhật ký Hợp đồng'!$B$4:$B$103, "&lt;="&amp;$V$2)</f>
        <v>0</v>
      </c>
      <c r="Z9" s="24">
        <f>SUMIFS('7. Nhật ký Đào tạo'!$L$4:$L$103, '7. Nhật ký Đào tạo'!$B$4:$B$103, A9, '7. Nhật ký Đào tạo'!$K$4:$K$103, "Đã duyệt", '7. Nhật ký Đào tạo'!$M$4:$M$103, "&gt;="&amp;$V$1, '7. Nhật ký Đào tạo'!$M$4:$M$103, "&lt;="&amp;$V$2)</f>
        <v>0</v>
      </c>
      <c r="AA9" s="30">
        <f t="shared" si="6"/>
        <v>0</v>
      </c>
    </row>
    <row r="10" ht="15.0" customHeight="1">
      <c r="A10" s="13" t="s">
        <v>184</v>
      </c>
      <c r="B10" s="16" t="s">
        <v>185</v>
      </c>
      <c r="C10" s="13" t="s">
        <v>184</v>
      </c>
      <c r="D10" s="13" t="s">
        <v>186</v>
      </c>
      <c r="E10" s="13" t="s">
        <v>187</v>
      </c>
      <c r="F10" s="16" t="s">
        <v>69</v>
      </c>
      <c r="G10" s="16" t="s">
        <v>188</v>
      </c>
      <c r="H10" s="13" t="s">
        <v>33</v>
      </c>
      <c r="I10" s="16" t="s">
        <v>34</v>
      </c>
      <c r="J10" s="16" t="s">
        <v>175</v>
      </c>
      <c r="K10" s="16" t="s">
        <v>73</v>
      </c>
      <c r="L10" s="13">
        <f t="shared" si="1"/>
        <v>8</v>
      </c>
      <c r="M10" s="13">
        <f t="shared" si="2"/>
        <v>5</v>
      </c>
      <c r="N10" s="13">
        <f t="shared" si="3"/>
        <v>1</v>
      </c>
      <c r="O10" s="13">
        <f t="shared" si="4"/>
        <v>1</v>
      </c>
      <c r="P10" s="32" t="str">
        <f t="shared" si="5"/>
        <v>Thành viên</v>
      </c>
      <c r="Q10" s="13">
        <v>0.0</v>
      </c>
      <c r="R10" s="13" t="s">
        <v>55</v>
      </c>
      <c r="S10" s="13" t="s">
        <v>55</v>
      </c>
      <c r="T10" s="13">
        <f>COUNTIFS('4. Chi tiết Sự kiện'!$C$4:$C$103, A10, '4. Chi tiết Sự kiện'!$E$4:$E$103, "Khách mời", '4. Chi tiết Sự kiện'!$H$4:$H$103, "Có", '4. Chi tiết Sự kiện'!$B$4:$B$103, "&gt;="&amp;$V$1, '4. Chi tiết Sự kiện'!$B$4:$B$103, "&lt;="&amp;$V$2)</f>
        <v>0</v>
      </c>
      <c r="U10" s="13">
        <f>COUNTIFS('4. Chi tiết Sự kiện'!$F$4:$F$103, A10, '4. Chi tiết Sự kiện'!$B$4:$B$103, "&gt;="&amp;$V$1, '4. Chi tiết Sự kiện'!$B$4:$B$103, "&lt;="&amp;$V$2)</f>
        <v>0</v>
      </c>
      <c r="V10" s="13">
        <f>COUNTIFS('4. Chi tiết Sự kiện'!$F$4:$F$103, A10, '4. Chi tiết Sự kiện'!$E$4:$E$103, "Khách mời", '4. Chi tiết Sự kiện'!$B$4:$B$103, "&gt;="&amp;$V$1, '4. Chi tiết Sự kiện'!$B$4:$B$103, "&lt;="&amp;$V$2)</f>
        <v>0</v>
      </c>
      <c r="W10" s="24">
        <f>SUMIFS('4. Chi tiết Sự kiện'!$L$4:$L$103, '4. Chi tiết Sự kiện'!$C$4:$C$103, A10, '4. Chi tiết Sự kiện'!$B$4:$B$103, "&gt;="&amp;$V$1, '4. Chi tiết Sự kiện'!$B$4:$B$103, "&lt;="&amp;$V$2)</f>
        <v>0</v>
      </c>
      <c r="X10" s="24">
        <f>SUMIFS('4. Chi tiết Sự kiện'!$M$4:$M$103, '4. Chi tiết Sự kiện'!$C$4:$C$103, A10, '4. Chi tiết Sự kiện'!$B$4:$B$103, "&gt;="&amp;$V$1, '4. Chi tiết Sự kiện'!$B$4:$B$103, "&lt;="&amp;$V$2)</f>
        <v>0</v>
      </c>
      <c r="Y10" s="24">
        <f>SUMIFS('5. Nhật ký Hợp đồng'!$K$4:$K$103, '5. Nhật ký Hợp đồng'!$E$4:$E$103, A10, '5. Nhật ký Hợp đồng'!$N$4:$N$103, "Đã duyệt", '5. Nhật ký Hợp đồng'!$B$4:$B$103, "&gt;="&amp;$V$1, '5. Nhật ký Hợp đồng'!$B$4:$B$103, "&lt;="&amp;$V$2) + SUMIFS('5. Nhật ký Hợp đồng'!$L$4:$L$103, '5. Nhật ký Hợp đồng'!$G$4:$G$103, A10, '5. Nhật ký Hợp đồng'!$N$4:$N$103, "Đã duyệt", '5. Nhật ký Hợp đồng'!$B$4:$B$103, "&gt;="&amp;$V$1, '5. Nhật ký Hợp đồng'!$B$4:$B$103, "&lt;="&amp;$V$2) + SUMIFS('5. Nhật ký Hợp đồng'!$M$4:$M$103, '5. Nhật ký Hợp đồng'!$I$4:$I$103, A10, '5. Nhật ký Hợp đồng'!$N$4:$N$103, "Đã duyệt", '5. Nhật ký Hợp đồng'!$B$4:$B$103, "&gt;="&amp;$V$1, '5. Nhật ký Hợp đồng'!$B$4:$B$103, "&lt;="&amp;$V$2)</f>
        <v>0</v>
      </c>
      <c r="Z10" s="24">
        <f>SUMIFS('7. Nhật ký Đào tạo'!$L$4:$L$103, '7. Nhật ký Đào tạo'!$B$4:$B$103, A10, '7. Nhật ký Đào tạo'!$K$4:$K$103, "Đã duyệt", '7. Nhật ký Đào tạo'!$M$4:$M$103, "&gt;="&amp;$V$1, '7. Nhật ký Đào tạo'!$M$4:$M$103, "&lt;="&amp;$V$2)</f>
        <v>0</v>
      </c>
      <c r="AA10" s="30">
        <f t="shared" si="6"/>
        <v>0</v>
      </c>
    </row>
    <row r="11" ht="15.0" customHeight="1">
      <c r="A11" s="13" t="s">
        <v>189</v>
      </c>
      <c r="B11" s="16" t="s">
        <v>190</v>
      </c>
      <c r="C11" s="13" t="s">
        <v>189</v>
      </c>
      <c r="D11" s="13" t="s">
        <v>191</v>
      </c>
      <c r="E11" s="13" t="s">
        <v>192</v>
      </c>
      <c r="F11" s="16" t="s">
        <v>69</v>
      </c>
      <c r="G11" s="16" t="s">
        <v>193</v>
      </c>
      <c r="H11" s="13" t="s">
        <v>33</v>
      </c>
      <c r="I11" s="16" t="s">
        <v>34</v>
      </c>
      <c r="J11" s="16" t="s">
        <v>175</v>
      </c>
      <c r="K11" s="16" t="s">
        <v>73</v>
      </c>
      <c r="L11" s="13">
        <f t="shared" si="1"/>
        <v>8</v>
      </c>
      <c r="M11" s="13">
        <f t="shared" si="2"/>
        <v>5</v>
      </c>
      <c r="N11" s="13">
        <f t="shared" si="3"/>
        <v>1</v>
      </c>
      <c r="O11" s="13">
        <f t="shared" si="4"/>
        <v>1</v>
      </c>
      <c r="P11" s="32" t="str">
        <f t="shared" si="5"/>
        <v>Thành viên</v>
      </c>
      <c r="Q11" s="13">
        <v>0.0</v>
      </c>
      <c r="R11" s="13" t="s">
        <v>55</v>
      </c>
      <c r="S11" s="13" t="s">
        <v>55</v>
      </c>
      <c r="T11" s="13">
        <f>COUNTIFS('4. Chi tiết Sự kiện'!$C$4:$C$103, A11, '4. Chi tiết Sự kiện'!$E$4:$E$103, "Khách mời", '4. Chi tiết Sự kiện'!$H$4:$H$103, "Có", '4. Chi tiết Sự kiện'!$B$4:$B$103, "&gt;="&amp;$V$1, '4. Chi tiết Sự kiện'!$B$4:$B$103, "&lt;="&amp;$V$2)</f>
        <v>0</v>
      </c>
      <c r="U11" s="13">
        <f>COUNTIFS('4. Chi tiết Sự kiện'!$F$4:$F$103, A11, '4. Chi tiết Sự kiện'!$B$4:$B$103, "&gt;="&amp;$V$1, '4. Chi tiết Sự kiện'!$B$4:$B$103, "&lt;="&amp;$V$2)</f>
        <v>0</v>
      </c>
      <c r="V11" s="13">
        <f>COUNTIFS('4. Chi tiết Sự kiện'!$F$4:$F$103, A11, '4. Chi tiết Sự kiện'!$E$4:$E$103, "Khách mời", '4. Chi tiết Sự kiện'!$B$4:$B$103, "&gt;="&amp;$V$1, '4. Chi tiết Sự kiện'!$B$4:$B$103, "&lt;="&amp;$V$2)</f>
        <v>0</v>
      </c>
      <c r="W11" s="24">
        <f>SUMIFS('4. Chi tiết Sự kiện'!$L$4:$L$103, '4. Chi tiết Sự kiện'!$C$4:$C$103, A11, '4. Chi tiết Sự kiện'!$B$4:$B$103, "&gt;="&amp;$V$1, '4. Chi tiết Sự kiện'!$B$4:$B$103, "&lt;="&amp;$V$2)</f>
        <v>0</v>
      </c>
      <c r="X11" s="24">
        <f>SUMIFS('4. Chi tiết Sự kiện'!$M$4:$M$103, '4. Chi tiết Sự kiện'!$C$4:$C$103, A11, '4. Chi tiết Sự kiện'!$B$4:$B$103, "&gt;="&amp;$V$1, '4. Chi tiết Sự kiện'!$B$4:$B$103, "&lt;="&amp;$V$2)</f>
        <v>0</v>
      </c>
      <c r="Y11" s="24">
        <f>SUMIFS('5. Nhật ký Hợp đồng'!$K$4:$K$103, '5. Nhật ký Hợp đồng'!$E$4:$E$103, A11, '5. Nhật ký Hợp đồng'!$N$4:$N$103, "Đã duyệt", '5. Nhật ký Hợp đồng'!$B$4:$B$103, "&gt;="&amp;$V$1, '5. Nhật ký Hợp đồng'!$B$4:$B$103, "&lt;="&amp;$V$2) + SUMIFS('5. Nhật ký Hợp đồng'!$L$4:$L$103, '5. Nhật ký Hợp đồng'!$G$4:$G$103, A11, '5. Nhật ký Hợp đồng'!$N$4:$N$103, "Đã duyệt", '5. Nhật ký Hợp đồng'!$B$4:$B$103, "&gt;="&amp;$V$1, '5. Nhật ký Hợp đồng'!$B$4:$B$103, "&lt;="&amp;$V$2) + SUMIFS('5. Nhật ký Hợp đồng'!$M$4:$M$103, '5. Nhật ký Hợp đồng'!$I$4:$I$103, A11, '5. Nhật ký Hợp đồng'!$N$4:$N$103, "Đã duyệt", '5. Nhật ký Hợp đồng'!$B$4:$B$103, "&gt;="&amp;$V$1, '5. Nhật ký Hợp đồng'!$B$4:$B$103, "&lt;="&amp;$V$2)</f>
        <v>0</v>
      </c>
      <c r="Z11" s="24">
        <f>SUMIFS('7. Nhật ký Đào tạo'!$L$4:$L$103, '7. Nhật ký Đào tạo'!$B$4:$B$103, A11, '7. Nhật ký Đào tạo'!$K$4:$K$103, "Đã duyệt", '7. Nhật ký Đào tạo'!$M$4:$M$103, "&gt;="&amp;$V$1, '7. Nhật ký Đào tạo'!$M$4:$M$103, "&lt;="&amp;$V$2)</f>
        <v>0</v>
      </c>
      <c r="AA11" s="30">
        <f t="shared" si="6"/>
        <v>0</v>
      </c>
    </row>
    <row r="12" ht="15.0" customHeight="1">
      <c r="A12" s="13" t="s">
        <v>194</v>
      </c>
      <c r="B12" s="16" t="s">
        <v>195</v>
      </c>
      <c r="C12" s="13" t="s">
        <v>194</v>
      </c>
      <c r="D12" s="13" t="s">
        <v>196</v>
      </c>
      <c r="E12" s="13" t="s">
        <v>197</v>
      </c>
      <c r="F12" s="16" t="s">
        <v>69</v>
      </c>
      <c r="G12" s="16" t="s">
        <v>198</v>
      </c>
      <c r="H12" s="13" t="s">
        <v>71</v>
      </c>
      <c r="I12" s="16" t="s">
        <v>71</v>
      </c>
      <c r="J12" s="16" t="s">
        <v>121</v>
      </c>
      <c r="K12" s="16" t="s">
        <v>199</v>
      </c>
      <c r="L12" s="13">
        <f t="shared" si="1"/>
        <v>2</v>
      </c>
      <c r="M12" s="13">
        <f t="shared" si="2"/>
        <v>1</v>
      </c>
      <c r="N12" s="13">
        <f t="shared" si="3"/>
        <v>1</v>
      </c>
      <c r="O12" s="13">
        <f t="shared" si="4"/>
        <v>0</v>
      </c>
      <c r="P12" s="32" t="str">
        <f t="shared" si="5"/>
        <v>Thành viên</v>
      </c>
      <c r="Q12" s="13">
        <v>1.0</v>
      </c>
      <c r="R12" s="13" t="s">
        <v>55</v>
      </c>
      <c r="S12" s="13" t="s">
        <v>76</v>
      </c>
      <c r="T12" s="13">
        <f>COUNTIFS('4. Chi tiết Sự kiện'!$C$4:$C$103, A12, '4. Chi tiết Sự kiện'!$E$4:$E$103, "Khách mời", '4. Chi tiết Sự kiện'!$H$4:$H$103, "Có", '4. Chi tiết Sự kiện'!$B$4:$B$103, "&gt;="&amp;$V$1, '4. Chi tiết Sự kiện'!$B$4:$B$103, "&lt;="&amp;$V$2)</f>
        <v>0</v>
      </c>
      <c r="U12" s="13">
        <f>COUNTIFS('4. Chi tiết Sự kiện'!$F$4:$F$103, A12, '4. Chi tiết Sự kiện'!$B$4:$B$103, "&gt;="&amp;$V$1, '4. Chi tiết Sự kiện'!$B$4:$B$103, "&lt;="&amp;$V$2)</f>
        <v>0</v>
      </c>
      <c r="V12" s="13">
        <f>COUNTIFS('4. Chi tiết Sự kiện'!$F$4:$F$103, A12, '4. Chi tiết Sự kiện'!$E$4:$E$103, "Khách mời", '4. Chi tiết Sự kiện'!$B$4:$B$103, "&gt;="&amp;$V$1, '4. Chi tiết Sự kiện'!$B$4:$B$103, "&lt;="&amp;$V$2)</f>
        <v>0</v>
      </c>
      <c r="W12" s="24">
        <f>SUMIFS('4. Chi tiết Sự kiện'!$L$4:$L$103, '4. Chi tiết Sự kiện'!$C$4:$C$103, A12, '4. Chi tiết Sự kiện'!$B$4:$B$103, "&gt;="&amp;$V$1, '4. Chi tiết Sự kiện'!$B$4:$B$103, "&lt;="&amp;$V$2)</f>
        <v>0</v>
      </c>
      <c r="X12" s="24">
        <f>SUMIFS('4. Chi tiết Sự kiện'!$M$4:$M$103, '4. Chi tiết Sự kiện'!$C$4:$C$103, A12, '4. Chi tiết Sự kiện'!$B$4:$B$103, "&gt;="&amp;$V$1, '4. Chi tiết Sự kiện'!$B$4:$B$103, "&lt;="&amp;$V$2)</f>
        <v>0</v>
      </c>
      <c r="Y12" s="24">
        <f>SUMIFS('5. Nhật ký Hợp đồng'!$K$4:$K$103, '5. Nhật ký Hợp đồng'!$E$4:$E$103, A12, '5. Nhật ký Hợp đồng'!$N$4:$N$103, "Đã duyệt", '5. Nhật ký Hợp đồng'!$B$4:$B$103, "&gt;="&amp;$V$1, '5. Nhật ký Hợp đồng'!$B$4:$B$103, "&lt;="&amp;$V$2) + SUMIFS('5. Nhật ký Hợp đồng'!$L$4:$L$103, '5. Nhật ký Hợp đồng'!$G$4:$G$103, A12, '5. Nhật ký Hợp đồng'!$N$4:$N$103, "Đã duyệt", '5. Nhật ký Hợp đồng'!$B$4:$B$103, "&gt;="&amp;$V$1, '5. Nhật ký Hợp đồng'!$B$4:$B$103, "&lt;="&amp;$V$2) + SUMIFS('5. Nhật ký Hợp đồng'!$M$4:$M$103, '5. Nhật ký Hợp đồng'!$I$4:$I$103, A12, '5. Nhật ký Hợp đồng'!$N$4:$N$103, "Đã duyệt", '5. Nhật ký Hợp đồng'!$B$4:$B$103, "&gt;="&amp;$V$1, '5. Nhật ký Hợp đồng'!$B$4:$B$103, "&lt;="&amp;$V$2)</f>
        <v>12000000</v>
      </c>
      <c r="Z12" s="24">
        <f>SUMIFS('7. Nhật ký Đào tạo'!$L$4:$L$103, '7. Nhật ký Đào tạo'!$B$4:$B$103, A12, '7. Nhật ký Đào tạo'!$K$4:$K$103, "Đã duyệt", '7. Nhật ký Đào tạo'!$M$4:$M$103, "&gt;="&amp;$V$1, '7. Nhật ký Đào tạo'!$M$4:$M$103, "&lt;="&amp;$V$2)</f>
        <v>0</v>
      </c>
      <c r="AA12" s="30">
        <f t="shared" si="6"/>
        <v>12000000</v>
      </c>
    </row>
    <row r="13" ht="15.0" customHeight="1">
      <c r="A13" s="13" t="s">
        <v>200</v>
      </c>
      <c r="B13" s="16" t="s">
        <v>201</v>
      </c>
      <c r="C13" s="13" t="s">
        <v>200</v>
      </c>
      <c r="D13" s="13" t="s">
        <v>202</v>
      </c>
      <c r="E13" s="13" t="s">
        <v>203</v>
      </c>
      <c r="F13" s="16" t="s">
        <v>69</v>
      </c>
      <c r="G13" s="16" t="s">
        <v>204</v>
      </c>
      <c r="H13" s="13" t="s">
        <v>194</v>
      </c>
      <c r="I13" s="16" t="s">
        <v>195</v>
      </c>
      <c r="J13" s="16" t="s">
        <v>175</v>
      </c>
      <c r="K13" s="16" t="s">
        <v>199</v>
      </c>
      <c r="L13" s="13">
        <f t="shared" si="1"/>
        <v>2</v>
      </c>
      <c r="M13" s="13">
        <f t="shared" si="2"/>
        <v>1</v>
      </c>
      <c r="N13" s="13">
        <f t="shared" si="3"/>
        <v>1</v>
      </c>
      <c r="O13" s="13">
        <f t="shared" si="4"/>
        <v>0</v>
      </c>
      <c r="P13" s="32" t="str">
        <f t="shared" si="5"/>
        <v>Thành viên</v>
      </c>
      <c r="Q13" s="13">
        <v>0.0</v>
      </c>
      <c r="R13" s="13" t="s">
        <v>76</v>
      </c>
      <c r="S13" s="13" t="s">
        <v>76</v>
      </c>
      <c r="T13" s="13">
        <f>COUNTIFS('4. Chi tiết Sự kiện'!$C$4:$C$103, A13, '4. Chi tiết Sự kiện'!$E$4:$E$103, "Khách mời", '4. Chi tiết Sự kiện'!$H$4:$H$103, "Có", '4. Chi tiết Sự kiện'!$B$4:$B$103, "&gt;="&amp;$V$1, '4. Chi tiết Sự kiện'!$B$4:$B$103, "&lt;="&amp;$V$2)</f>
        <v>0</v>
      </c>
      <c r="U13" s="13">
        <f>COUNTIFS('4. Chi tiết Sự kiện'!$F$4:$F$103, A13, '4. Chi tiết Sự kiện'!$B$4:$B$103, "&gt;="&amp;$V$1, '4. Chi tiết Sự kiện'!$B$4:$B$103, "&lt;="&amp;$V$2)</f>
        <v>0</v>
      </c>
      <c r="V13" s="13">
        <f>COUNTIFS('4. Chi tiết Sự kiện'!$F$4:$F$103, A13, '4. Chi tiết Sự kiện'!$E$4:$E$103, "Khách mời", '4. Chi tiết Sự kiện'!$B$4:$B$103, "&gt;="&amp;$V$1, '4. Chi tiết Sự kiện'!$B$4:$B$103, "&lt;="&amp;$V$2)</f>
        <v>0</v>
      </c>
      <c r="W13" s="24">
        <f>SUMIFS('4. Chi tiết Sự kiện'!$L$4:$L$103, '4. Chi tiết Sự kiện'!$C$4:$C$103, A13, '4. Chi tiết Sự kiện'!$B$4:$B$103, "&gt;="&amp;$V$1, '4. Chi tiết Sự kiện'!$B$4:$B$103, "&lt;="&amp;$V$2)</f>
        <v>0</v>
      </c>
      <c r="X13" s="24">
        <f>SUMIFS('4. Chi tiết Sự kiện'!$M$4:$M$103, '4. Chi tiết Sự kiện'!$C$4:$C$103, A13, '4. Chi tiết Sự kiện'!$B$4:$B$103, "&gt;="&amp;$V$1, '4. Chi tiết Sự kiện'!$B$4:$B$103, "&lt;="&amp;$V$2)</f>
        <v>0</v>
      </c>
      <c r="Y13" s="24">
        <f>SUMIFS('5. Nhật ký Hợp đồng'!$K$4:$K$103, '5. Nhật ký Hợp đồng'!$E$4:$E$103, A13, '5. Nhật ký Hợp đồng'!$N$4:$N$103, "Đã duyệt", '5. Nhật ký Hợp đồng'!$B$4:$B$103, "&gt;="&amp;$V$1, '5. Nhật ký Hợp đồng'!$B$4:$B$103, "&lt;="&amp;$V$2) + SUMIFS('5. Nhật ký Hợp đồng'!$L$4:$L$103, '5. Nhật ký Hợp đồng'!$G$4:$G$103, A13, '5. Nhật ký Hợp đồng'!$N$4:$N$103, "Đã duyệt", '5. Nhật ký Hợp đồng'!$B$4:$B$103, "&gt;="&amp;$V$1, '5. Nhật ký Hợp đồng'!$B$4:$B$103, "&lt;="&amp;$V$2) + SUMIFS('5. Nhật ký Hợp đồng'!$M$4:$M$103, '5. Nhật ký Hợp đồng'!$I$4:$I$103, A13, '5. Nhật ký Hợp đồng'!$N$4:$N$103, "Đã duyệt", '5. Nhật ký Hợp đồng'!$B$4:$B$103, "&gt;="&amp;$V$1, '5. Nhật ký Hợp đồng'!$B$4:$B$103, "&lt;="&amp;$V$2)</f>
        <v>0</v>
      </c>
      <c r="Z13" s="24">
        <f>SUMIFS('7. Nhật ký Đào tạo'!$L$4:$L$103, '7. Nhật ký Đào tạo'!$B$4:$B$103, A13, '7. Nhật ký Đào tạo'!$K$4:$K$103, "Đã duyệt", '7. Nhật ký Đào tạo'!$M$4:$M$103, "&gt;="&amp;$V$1, '7. Nhật ký Đào tạo'!$M$4:$M$103, "&lt;="&amp;$V$2)</f>
        <v>0</v>
      </c>
      <c r="AA13" s="30">
        <f t="shared" si="6"/>
        <v>0</v>
      </c>
    </row>
    <row r="14" ht="15.0" customHeight="1">
      <c r="A14" s="13" t="s">
        <v>205</v>
      </c>
      <c r="B14" s="16" t="s">
        <v>206</v>
      </c>
      <c r="C14" s="13" t="s">
        <v>205</v>
      </c>
      <c r="D14" s="13" t="s">
        <v>207</v>
      </c>
      <c r="E14" s="13" t="s">
        <v>208</v>
      </c>
      <c r="F14" s="16" t="s">
        <v>69</v>
      </c>
      <c r="G14" s="16" t="s">
        <v>209</v>
      </c>
      <c r="H14" s="13" t="s">
        <v>71</v>
      </c>
      <c r="I14" s="16" t="s">
        <v>71</v>
      </c>
      <c r="J14" s="16" t="s">
        <v>72</v>
      </c>
      <c r="K14" s="16" t="s">
        <v>210</v>
      </c>
      <c r="L14" s="13">
        <f t="shared" si="1"/>
        <v>22</v>
      </c>
      <c r="M14" s="13">
        <f t="shared" si="2"/>
        <v>19</v>
      </c>
      <c r="N14" s="13">
        <f t="shared" si="3"/>
        <v>1</v>
      </c>
      <c r="O14" s="13">
        <f t="shared" si="4"/>
        <v>1</v>
      </c>
      <c r="P14" s="32" t="str">
        <f t="shared" si="5"/>
        <v>Giám đốc</v>
      </c>
      <c r="Q14" s="13">
        <v>0.0</v>
      </c>
      <c r="R14" s="13" t="s">
        <v>55</v>
      </c>
      <c r="S14" s="13" t="s">
        <v>55</v>
      </c>
      <c r="T14" s="13">
        <f>COUNTIFS('4. Chi tiết Sự kiện'!$C$4:$C$103, A14, '4. Chi tiết Sự kiện'!$E$4:$E$103, "Khách mời", '4. Chi tiết Sự kiện'!$H$4:$H$103, "Có", '4. Chi tiết Sự kiện'!$B$4:$B$103, "&gt;="&amp;$V$1, '4. Chi tiết Sự kiện'!$B$4:$B$103, "&lt;="&amp;$V$2)</f>
        <v>0</v>
      </c>
      <c r="U14" s="13">
        <f>COUNTIFS('4. Chi tiết Sự kiện'!$F$4:$F$103, A14, '4. Chi tiết Sự kiện'!$B$4:$B$103, "&gt;="&amp;$V$1, '4. Chi tiết Sự kiện'!$B$4:$B$103, "&lt;="&amp;$V$2)</f>
        <v>0</v>
      </c>
      <c r="V14" s="13">
        <f>COUNTIFS('4. Chi tiết Sự kiện'!$F$4:$F$103, A14, '4. Chi tiết Sự kiện'!$E$4:$E$103, "Khách mời", '4. Chi tiết Sự kiện'!$B$4:$B$103, "&gt;="&amp;$V$1, '4. Chi tiết Sự kiện'!$B$4:$B$103, "&lt;="&amp;$V$2)</f>
        <v>0</v>
      </c>
      <c r="W14" s="24">
        <f>SUMIFS('4. Chi tiết Sự kiện'!$L$4:$L$103, '4. Chi tiết Sự kiện'!$C$4:$C$103, A14, '4. Chi tiết Sự kiện'!$B$4:$B$103, "&gt;="&amp;$V$1, '4. Chi tiết Sự kiện'!$B$4:$B$103, "&lt;="&amp;$V$2)</f>
        <v>0</v>
      </c>
      <c r="X14" s="24">
        <f>SUMIFS('4. Chi tiết Sự kiện'!$M$4:$M$103, '4. Chi tiết Sự kiện'!$C$4:$C$103, A14, '4. Chi tiết Sự kiện'!$B$4:$B$103, "&gt;="&amp;$V$1, '4. Chi tiết Sự kiện'!$B$4:$B$103, "&lt;="&amp;$V$2)</f>
        <v>0</v>
      </c>
      <c r="Y14" s="24">
        <f>SUMIFS('5. Nhật ký Hợp đồng'!$K$4:$K$103, '5. Nhật ký Hợp đồng'!$E$4:$E$103, A14, '5. Nhật ký Hợp đồng'!$N$4:$N$103, "Đã duyệt", '5. Nhật ký Hợp đồng'!$B$4:$B$103, "&gt;="&amp;$V$1, '5. Nhật ký Hợp đồng'!$B$4:$B$103, "&lt;="&amp;$V$2) + SUMIFS('5. Nhật ký Hợp đồng'!$L$4:$L$103, '5. Nhật ký Hợp đồng'!$G$4:$G$103, A14, '5. Nhật ký Hợp đồng'!$N$4:$N$103, "Đã duyệt", '5. Nhật ký Hợp đồng'!$B$4:$B$103, "&gt;="&amp;$V$1, '5. Nhật ký Hợp đồng'!$B$4:$B$103, "&lt;="&amp;$V$2) + SUMIFS('5. Nhật ký Hợp đồng'!$M$4:$M$103, '5. Nhật ký Hợp đồng'!$I$4:$I$103, A14, '5. Nhật ký Hợp đồng'!$N$4:$N$103, "Đã duyệt", '5. Nhật ký Hợp đồng'!$B$4:$B$103, "&gt;="&amp;$V$1, '5. Nhật ký Hợp đồng'!$B$4:$B$103, "&lt;="&amp;$V$2)</f>
        <v>0</v>
      </c>
      <c r="Z14" s="24">
        <f>SUMIFS('7. Nhật ký Đào tạo'!$L$4:$L$103, '7. Nhật ký Đào tạo'!$B$4:$B$103, A14, '7. Nhật ký Đào tạo'!$K$4:$K$103, "Đã duyệt", '7. Nhật ký Đào tạo'!$M$4:$M$103, "&gt;="&amp;$V$1, '7. Nhật ký Đào tạo'!$M$4:$M$103, "&lt;="&amp;$V$2)</f>
        <v>0</v>
      </c>
      <c r="AA14" s="30">
        <f t="shared" si="6"/>
        <v>0</v>
      </c>
    </row>
    <row r="15" ht="15.0" customHeight="1">
      <c r="A15" s="13" t="s">
        <v>211</v>
      </c>
      <c r="B15" s="16" t="s">
        <v>212</v>
      </c>
      <c r="C15" s="13" t="s">
        <v>211</v>
      </c>
      <c r="D15" s="13" t="s">
        <v>167</v>
      </c>
      <c r="E15" s="13" t="s">
        <v>213</v>
      </c>
      <c r="F15" s="16" t="s">
        <v>69</v>
      </c>
      <c r="G15" s="16" t="s">
        <v>214</v>
      </c>
      <c r="H15" s="13" t="s">
        <v>205</v>
      </c>
      <c r="I15" s="16" t="s">
        <v>206</v>
      </c>
      <c r="J15" s="16" t="s">
        <v>115</v>
      </c>
      <c r="K15" s="16" t="s">
        <v>210</v>
      </c>
      <c r="L15" s="13">
        <f t="shared" si="1"/>
        <v>22</v>
      </c>
      <c r="M15" s="13">
        <f t="shared" si="2"/>
        <v>19</v>
      </c>
      <c r="N15" s="13">
        <f t="shared" si="3"/>
        <v>1</v>
      </c>
      <c r="O15" s="13">
        <f t="shared" si="4"/>
        <v>1</v>
      </c>
      <c r="P15" s="32" t="str">
        <f t="shared" si="5"/>
        <v>Phó Giám đốc</v>
      </c>
      <c r="Q15" s="13">
        <v>0.0</v>
      </c>
      <c r="R15" s="13" t="s">
        <v>55</v>
      </c>
      <c r="S15" s="13" t="s">
        <v>55</v>
      </c>
      <c r="T15" s="13">
        <f>COUNTIFS('4. Chi tiết Sự kiện'!$C$4:$C$103, A15, '4. Chi tiết Sự kiện'!$E$4:$E$103, "Khách mời", '4. Chi tiết Sự kiện'!$H$4:$H$103, "Có", '4. Chi tiết Sự kiện'!$B$4:$B$103, "&gt;="&amp;$V$1, '4. Chi tiết Sự kiện'!$B$4:$B$103, "&lt;="&amp;$V$2)</f>
        <v>0</v>
      </c>
      <c r="U15" s="13">
        <f>COUNTIFS('4. Chi tiết Sự kiện'!$F$4:$F$103, A15, '4. Chi tiết Sự kiện'!$B$4:$B$103, "&gt;="&amp;$V$1, '4. Chi tiết Sự kiện'!$B$4:$B$103, "&lt;="&amp;$V$2)</f>
        <v>0</v>
      </c>
      <c r="V15" s="13">
        <f>COUNTIFS('4. Chi tiết Sự kiện'!$F$4:$F$103, A15, '4. Chi tiết Sự kiện'!$E$4:$E$103, "Khách mời", '4. Chi tiết Sự kiện'!$B$4:$B$103, "&gt;="&amp;$V$1, '4. Chi tiết Sự kiện'!$B$4:$B$103, "&lt;="&amp;$V$2)</f>
        <v>0</v>
      </c>
      <c r="W15" s="24">
        <f>SUMIFS('4. Chi tiết Sự kiện'!$L$4:$L$103, '4. Chi tiết Sự kiện'!$C$4:$C$103, A15, '4. Chi tiết Sự kiện'!$B$4:$B$103, "&gt;="&amp;$V$1, '4. Chi tiết Sự kiện'!$B$4:$B$103, "&lt;="&amp;$V$2)</f>
        <v>0</v>
      </c>
      <c r="X15" s="24">
        <f>SUMIFS('4. Chi tiết Sự kiện'!$M$4:$M$103, '4. Chi tiết Sự kiện'!$C$4:$C$103, A15, '4. Chi tiết Sự kiện'!$B$4:$B$103, "&gt;="&amp;$V$1, '4. Chi tiết Sự kiện'!$B$4:$B$103, "&lt;="&amp;$V$2)</f>
        <v>0</v>
      </c>
      <c r="Y15" s="24">
        <f>SUMIFS('5. Nhật ký Hợp đồng'!$K$4:$K$103, '5. Nhật ký Hợp đồng'!$E$4:$E$103, A15, '5. Nhật ký Hợp đồng'!$N$4:$N$103, "Đã duyệt", '5. Nhật ký Hợp đồng'!$B$4:$B$103, "&gt;="&amp;$V$1, '5. Nhật ký Hợp đồng'!$B$4:$B$103, "&lt;="&amp;$V$2) + SUMIFS('5. Nhật ký Hợp đồng'!$L$4:$L$103, '5. Nhật ký Hợp đồng'!$G$4:$G$103, A15, '5. Nhật ký Hợp đồng'!$N$4:$N$103, "Đã duyệt", '5. Nhật ký Hợp đồng'!$B$4:$B$103, "&gt;="&amp;$V$1, '5. Nhật ký Hợp đồng'!$B$4:$B$103, "&lt;="&amp;$V$2) + SUMIFS('5. Nhật ký Hợp đồng'!$M$4:$M$103, '5. Nhật ký Hợp đồng'!$I$4:$I$103, A15, '5. Nhật ký Hợp đồng'!$N$4:$N$103, "Đã duyệt", '5. Nhật ký Hợp đồng'!$B$4:$B$103, "&gt;="&amp;$V$1, '5. Nhật ký Hợp đồng'!$B$4:$B$103, "&lt;="&amp;$V$2)</f>
        <v>0</v>
      </c>
      <c r="Z15" s="24">
        <f>SUMIFS('7. Nhật ký Đào tạo'!$L$4:$L$103, '7. Nhật ký Đào tạo'!$B$4:$B$103, A15, '7. Nhật ký Đào tạo'!$K$4:$K$103, "Đã duyệt", '7. Nhật ký Đào tạo'!$M$4:$M$103, "&gt;="&amp;$V$1, '7. Nhật ký Đào tạo'!$M$4:$M$103, "&lt;="&amp;$V$2)</f>
        <v>0</v>
      </c>
      <c r="AA15" s="30">
        <f t="shared" si="6"/>
        <v>0</v>
      </c>
    </row>
    <row r="16" ht="15.0" customHeight="1">
      <c r="A16" s="13" t="s">
        <v>215</v>
      </c>
      <c r="B16" s="16" t="s">
        <v>216</v>
      </c>
      <c r="C16" s="13" t="s">
        <v>215</v>
      </c>
      <c r="D16" s="13" t="s">
        <v>217</v>
      </c>
      <c r="E16" s="13" t="s">
        <v>218</v>
      </c>
      <c r="F16" s="16" t="s">
        <v>69</v>
      </c>
      <c r="G16" s="16" t="s">
        <v>219</v>
      </c>
      <c r="H16" s="13" t="s">
        <v>211</v>
      </c>
      <c r="I16" s="16" t="s">
        <v>212</v>
      </c>
      <c r="J16" s="16" t="s">
        <v>121</v>
      </c>
      <c r="K16" s="16" t="s">
        <v>210</v>
      </c>
      <c r="L16" s="13">
        <f t="shared" si="1"/>
        <v>22</v>
      </c>
      <c r="M16" s="13">
        <f t="shared" si="2"/>
        <v>19</v>
      </c>
      <c r="N16" s="13">
        <f t="shared" si="3"/>
        <v>1</v>
      </c>
      <c r="O16" s="13">
        <f t="shared" si="4"/>
        <v>1</v>
      </c>
      <c r="P16" s="32" t="str">
        <f t="shared" si="5"/>
        <v>Trưởng phòng</v>
      </c>
      <c r="Q16" s="13">
        <v>0.0</v>
      </c>
      <c r="R16" s="13" t="s">
        <v>55</v>
      </c>
      <c r="S16" s="13" t="s">
        <v>55</v>
      </c>
      <c r="T16" s="13">
        <f>COUNTIFS('4. Chi tiết Sự kiện'!$C$4:$C$103, A16, '4. Chi tiết Sự kiện'!$E$4:$E$103, "Khách mời", '4. Chi tiết Sự kiện'!$H$4:$H$103, "Có", '4. Chi tiết Sự kiện'!$B$4:$B$103, "&gt;="&amp;$V$1, '4. Chi tiết Sự kiện'!$B$4:$B$103, "&lt;="&amp;$V$2)</f>
        <v>0</v>
      </c>
      <c r="U16" s="13">
        <f>COUNTIFS('4. Chi tiết Sự kiện'!$F$4:$F$103, A16, '4. Chi tiết Sự kiện'!$B$4:$B$103, "&gt;="&amp;$V$1, '4. Chi tiết Sự kiện'!$B$4:$B$103, "&lt;="&amp;$V$2)</f>
        <v>0</v>
      </c>
      <c r="V16" s="13">
        <f>COUNTIFS('4. Chi tiết Sự kiện'!$F$4:$F$103, A16, '4. Chi tiết Sự kiện'!$E$4:$E$103, "Khách mời", '4. Chi tiết Sự kiện'!$B$4:$B$103, "&gt;="&amp;$V$1, '4. Chi tiết Sự kiện'!$B$4:$B$103, "&lt;="&amp;$V$2)</f>
        <v>0</v>
      </c>
      <c r="W16" s="24">
        <f>SUMIFS('4. Chi tiết Sự kiện'!$L$4:$L$103, '4. Chi tiết Sự kiện'!$C$4:$C$103, A16, '4. Chi tiết Sự kiện'!$B$4:$B$103, "&gt;="&amp;$V$1, '4. Chi tiết Sự kiện'!$B$4:$B$103, "&lt;="&amp;$V$2)</f>
        <v>0</v>
      </c>
      <c r="X16" s="24">
        <f>SUMIFS('4. Chi tiết Sự kiện'!$M$4:$M$103, '4. Chi tiết Sự kiện'!$C$4:$C$103, A16, '4. Chi tiết Sự kiện'!$B$4:$B$103, "&gt;="&amp;$V$1, '4. Chi tiết Sự kiện'!$B$4:$B$103, "&lt;="&amp;$V$2)</f>
        <v>0</v>
      </c>
      <c r="Y16" s="24">
        <f>SUMIFS('5. Nhật ký Hợp đồng'!$K$4:$K$103, '5. Nhật ký Hợp đồng'!$E$4:$E$103, A16, '5. Nhật ký Hợp đồng'!$N$4:$N$103, "Đã duyệt", '5. Nhật ký Hợp đồng'!$B$4:$B$103, "&gt;="&amp;$V$1, '5. Nhật ký Hợp đồng'!$B$4:$B$103, "&lt;="&amp;$V$2) + SUMIFS('5. Nhật ký Hợp đồng'!$L$4:$L$103, '5. Nhật ký Hợp đồng'!$G$4:$G$103, A16, '5. Nhật ký Hợp đồng'!$N$4:$N$103, "Đã duyệt", '5. Nhật ký Hợp đồng'!$B$4:$B$103, "&gt;="&amp;$V$1, '5. Nhật ký Hợp đồng'!$B$4:$B$103, "&lt;="&amp;$V$2) + SUMIFS('5. Nhật ký Hợp đồng'!$M$4:$M$103, '5. Nhật ký Hợp đồng'!$I$4:$I$103, A16, '5. Nhật ký Hợp đồng'!$N$4:$N$103, "Đã duyệt", '5. Nhật ký Hợp đồng'!$B$4:$B$103, "&gt;="&amp;$V$1, '5. Nhật ký Hợp đồng'!$B$4:$B$103, "&lt;="&amp;$V$2)</f>
        <v>0</v>
      </c>
      <c r="Z16" s="24">
        <f>SUMIFS('7. Nhật ký Đào tạo'!$L$4:$L$103, '7. Nhật ký Đào tạo'!$B$4:$B$103, A16, '7. Nhật ký Đào tạo'!$K$4:$K$103, "Đã duyệt", '7. Nhật ký Đào tạo'!$M$4:$M$103, "&gt;="&amp;$V$1, '7. Nhật ký Đào tạo'!$M$4:$M$103, "&lt;="&amp;$V$2)</f>
        <v>0</v>
      </c>
      <c r="AA16" s="30">
        <f t="shared" si="6"/>
        <v>0</v>
      </c>
    </row>
    <row r="17" ht="15.0" customHeight="1">
      <c r="A17" s="13" t="s">
        <v>220</v>
      </c>
      <c r="B17" s="16" t="s">
        <v>221</v>
      </c>
      <c r="C17" s="13" t="s">
        <v>220</v>
      </c>
      <c r="D17" s="13" t="s">
        <v>222</v>
      </c>
      <c r="E17" s="13" t="s">
        <v>223</v>
      </c>
      <c r="F17" s="16" t="s">
        <v>69</v>
      </c>
      <c r="G17" s="16" t="s">
        <v>224</v>
      </c>
      <c r="H17" s="13" t="s">
        <v>215</v>
      </c>
      <c r="I17" s="16" t="s">
        <v>216</v>
      </c>
      <c r="J17" s="16" t="s">
        <v>175</v>
      </c>
      <c r="K17" s="16" t="s">
        <v>210</v>
      </c>
      <c r="L17" s="13">
        <f t="shared" si="1"/>
        <v>22</v>
      </c>
      <c r="M17" s="13">
        <f t="shared" si="2"/>
        <v>19</v>
      </c>
      <c r="N17" s="13">
        <f t="shared" si="3"/>
        <v>1</v>
      </c>
      <c r="O17" s="13">
        <f t="shared" si="4"/>
        <v>1</v>
      </c>
      <c r="P17" s="32" t="str">
        <f t="shared" si="5"/>
        <v>Thành viên</v>
      </c>
      <c r="Q17" s="13">
        <v>0.0</v>
      </c>
      <c r="R17" s="13" t="s">
        <v>55</v>
      </c>
      <c r="S17" s="13" t="s">
        <v>55</v>
      </c>
      <c r="T17" s="13">
        <f>COUNTIFS('4. Chi tiết Sự kiện'!$C$4:$C$103, A17, '4. Chi tiết Sự kiện'!$E$4:$E$103, "Khách mời", '4. Chi tiết Sự kiện'!$H$4:$H$103, "Có", '4. Chi tiết Sự kiện'!$B$4:$B$103, "&gt;="&amp;$V$1, '4. Chi tiết Sự kiện'!$B$4:$B$103, "&lt;="&amp;$V$2)</f>
        <v>0</v>
      </c>
      <c r="U17" s="13">
        <f>COUNTIFS('4. Chi tiết Sự kiện'!$F$4:$F$103, A17, '4. Chi tiết Sự kiện'!$B$4:$B$103, "&gt;="&amp;$V$1, '4. Chi tiết Sự kiện'!$B$4:$B$103, "&lt;="&amp;$V$2)</f>
        <v>0</v>
      </c>
      <c r="V17" s="13">
        <f>COUNTIFS('4. Chi tiết Sự kiện'!$F$4:$F$103, A17, '4. Chi tiết Sự kiện'!$E$4:$E$103, "Khách mời", '4. Chi tiết Sự kiện'!$B$4:$B$103, "&gt;="&amp;$V$1, '4. Chi tiết Sự kiện'!$B$4:$B$103, "&lt;="&amp;$V$2)</f>
        <v>0</v>
      </c>
      <c r="W17" s="24">
        <f>SUMIFS('4. Chi tiết Sự kiện'!$L$4:$L$103, '4. Chi tiết Sự kiện'!$C$4:$C$103, A17, '4. Chi tiết Sự kiện'!$B$4:$B$103, "&gt;="&amp;$V$1, '4. Chi tiết Sự kiện'!$B$4:$B$103, "&lt;="&amp;$V$2)</f>
        <v>0</v>
      </c>
      <c r="X17" s="24">
        <f>SUMIFS('4. Chi tiết Sự kiện'!$M$4:$M$103, '4. Chi tiết Sự kiện'!$C$4:$C$103, A17, '4. Chi tiết Sự kiện'!$B$4:$B$103, "&gt;="&amp;$V$1, '4. Chi tiết Sự kiện'!$B$4:$B$103, "&lt;="&amp;$V$2)</f>
        <v>0</v>
      </c>
      <c r="Y17" s="24">
        <f>SUMIFS('5. Nhật ký Hợp đồng'!$K$4:$K$103, '5. Nhật ký Hợp đồng'!$E$4:$E$103, A17, '5. Nhật ký Hợp đồng'!$N$4:$N$103, "Đã duyệt", '5. Nhật ký Hợp đồng'!$B$4:$B$103, "&gt;="&amp;$V$1, '5. Nhật ký Hợp đồng'!$B$4:$B$103, "&lt;="&amp;$V$2) + SUMIFS('5. Nhật ký Hợp đồng'!$L$4:$L$103, '5. Nhật ký Hợp đồng'!$G$4:$G$103, A17, '5. Nhật ký Hợp đồng'!$N$4:$N$103, "Đã duyệt", '5. Nhật ký Hợp đồng'!$B$4:$B$103, "&gt;="&amp;$V$1, '5. Nhật ký Hợp đồng'!$B$4:$B$103, "&lt;="&amp;$V$2) + SUMIFS('5. Nhật ký Hợp đồng'!$M$4:$M$103, '5. Nhật ký Hợp đồng'!$I$4:$I$103, A17, '5. Nhật ký Hợp đồng'!$N$4:$N$103, "Đã duyệt", '5. Nhật ký Hợp đồng'!$B$4:$B$103, "&gt;="&amp;$V$1, '5. Nhật ký Hợp đồng'!$B$4:$B$103, "&lt;="&amp;$V$2)</f>
        <v>0</v>
      </c>
      <c r="Z17" s="24">
        <f>SUMIFS('7. Nhật ký Đào tạo'!$L$4:$L$103, '7. Nhật ký Đào tạo'!$B$4:$B$103, A17, '7. Nhật ký Đào tạo'!$K$4:$K$103, "Đã duyệt", '7. Nhật ký Đào tạo'!$M$4:$M$103, "&gt;="&amp;$V$1, '7. Nhật ký Đào tạo'!$M$4:$M$103, "&lt;="&amp;$V$2)</f>
        <v>0</v>
      </c>
      <c r="AA17" s="30">
        <f t="shared" si="6"/>
        <v>0</v>
      </c>
    </row>
    <row r="18" ht="15.0" customHeight="1">
      <c r="A18" s="13" t="s">
        <v>225</v>
      </c>
      <c r="B18" s="16" t="s">
        <v>226</v>
      </c>
      <c r="C18" s="13" t="s">
        <v>225</v>
      </c>
      <c r="D18" s="13" t="s">
        <v>227</v>
      </c>
      <c r="E18" s="13" t="s">
        <v>228</v>
      </c>
      <c r="F18" s="16" t="s">
        <v>69</v>
      </c>
      <c r="G18" s="16" t="s">
        <v>229</v>
      </c>
      <c r="H18" s="13" t="s">
        <v>215</v>
      </c>
      <c r="I18" s="16" t="s">
        <v>216</v>
      </c>
      <c r="J18" s="16" t="s">
        <v>175</v>
      </c>
      <c r="K18" s="16" t="s">
        <v>210</v>
      </c>
      <c r="L18" s="13">
        <f t="shared" si="1"/>
        <v>22</v>
      </c>
      <c r="M18" s="13">
        <f t="shared" si="2"/>
        <v>19</v>
      </c>
      <c r="N18" s="13">
        <f t="shared" si="3"/>
        <v>1</v>
      </c>
      <c r="O18" s="13">
        <f t="shared" si="4"/>
        <v>1</v>
      </c>
      <c r="P18" s="32" t="str">
        <f t="shared" si="5"/>
        <v>Thành viên</v>
      </c>
      <c r="Q18" s="13">
        <v>0.0</v>
      </c>
      <c r="R18" s="13" t="s">
        <v>55</v>
      </c>
      <c r="S18" s="13" t="s">
        <v>55</v>
      </c>
      <c r="T18" s="13">
        <f>COUNTIFS('4. Chi tiết Sự kiện'!$C$4:$C$103, A18, '4. Chi tiết Sự kiện'!$E$4:$E$103, "Khách mời", '4. Chi tiết Sự kiện'!$H$4:$H$103, "Có", '4. Chi tiết Sự kiện'!$B$4:$B$103, "&gt;="&amp;$V$1, '4. Chi tiết Sự kiện'!$B$4:$B$103, "&lt;="&amp;$V$2)</f>
        <v>0</v>
      </c>
      <c r="U18" s="13">
        <f>COUNTIFS('4. Chi tiết Sự kiện'!$F$4:$F$103, A18, '4. Chi tiết Sự kiện'!$B$4:$B$103, "&gt;="&amp;$V$1, '4. Chi tiết Sự kiện'!$B$4:$B$103, "&lt;="&amp;$V$2)</f>
        <v>0</v>
      </c>
      <c r="V18" s="13">
        <f>COUNTIFS('4. Chi tiết Sự kiện'!$F$4:$F$103, A18, '4. Chi tiết Sự kiện'!$E$4:$E$103, "Khách mời", '4. Chi tiết Sự kiện'!$B$4:$B$103, "&gt;="&amp;$V$1, '4. Chi tiết Sự kiện'!$B$4:$B$103, "&lt;="&amp;$V$2)</f>
        <v>0</v>
      </c>
      <c r="W18" s="24">
        <f>SUMIFS('4. Chi tiết Sự kiện'!$L$4:$L$103, '4. Chi tiết Sự kiện'!$C$4:$C$103, A18, '4. Chi tiết Sự kiện'!$B$4:$B$103, "&gt;="&amp;$V$1, '4. Chi tiết Sự kiện'!$B$4:$B$103, "&lt;="&amp;$V$2)</f>
        <v>0</v>
      </c>
      <c r="X18" s="24">
        <f>SUMIFS('4. Chi tiết Sự kiện'!$M$4:$M$103, '4. Chi tiết Sự kiện'!$C$4:$C$103, A18, '4. Chi tiết Sự kiện'!$B$4:$B$103, "&gt;="&amp;$V$1, '4. Chi tiết Sự kiện'!$B$4:$B$103, "&lt;="&amp;$V$2)</f>
        <v>0</v>
      </c>
      <c r="Y18" s="24">
        <f>SUMIFS('5. Nhật ký Hợp đồng'!$K$4:$K$103, '5. Nhật ký Hợp đồng'!$E$4:$E$103, A18, '5. Nhật ký Hợp đồng'!$N$4:$N$103, "Đã duyệt", '5. Nhật ký Hợp đồng'!$B$4:$B$103, "&gt;="&amp;$V$1, '5. Nhật ký Hợp đồng'!$B$4:$B$103, "&lt;="&amp;$V$2) + SUMIFS('5. Nhật ký Hợp đồng'!$L$4:$L$103, '5. Nhật ký Hợp đồng'!$G$4:$G$103, A18, '5. Nhật ký Hợp đồng'!$N$4:$N$103, "Đã duyệt", '5. Nhật ký Hợp đồng'!$B$4:$B$103, "&gt;="&amp;$V$1, '5. Nhật ký Hợp đồng'!$B$4:$B$103, "&lt;="&amp;$V$2) + SUMIFS('5. Nhật ký Hợp đồng'!$M$4:$M$103, '5. Nhật ký Hợp đồng'!$I$4:$I$103, A18, '5. Nhật ký Hợp đồng'!$N$4:$N$103, "Đã duyệt", '5. Nhật ký Hợp đồng'!$B$4:$B$103, "&gt;="&amp;$V$1, '5. Nhật ký Hợp đồng'!$B$4:$B$103, "&lt;="&amp;$V$2)</f>
        <v>0</v>
      </c>
      <c r="Z18" s="24">
        <f>SUMIFS('7. Nhật ký Đào tạo'!$L$4:$L$103, '7. Nhật ký Đào tạo'!$B$4:$B$103, A18, '7. Nhật ký Đào tạo'!$K$4:$K$103, "Đã duyệt", '7. Nhật ký Đào tạo'!$M$4:$M$103, "&gt;="&amp;$V$1, '7. Nhật ký Đào tạo'!$M$4:$M$103, "&lt;="&amp;$V$2)</f>
        <v>0</v>
      </c>
      <c r="AA18" s="30">
        <f t="shared" si="6"/>
        <v>0</v>
      </c>
    </row>
    <row r="19" ht="15.0" customHeight="1">
      <c r="A19" s="13" t="s">
        <v>230</v>
      </c>
      <c r="B19" s="16" t="s">
        <v>231</v>
      </c>
      <c r="C19" s="13" t="s">
        <v>230</v>
      </c>
      <c r="D19" s="13" t="s">
        <v>232</v>
      </c>
      <c r="E19" s="13" t="s">
        <v>233</v>
      </c>
      <c r="F19" s="16" t="s">
        <v>69</v>
      </c>
      <c r="G19" s="16" t="s">
        <v>234</v>
      </c>
      <c r="H19" s="13" t="s">
        <v>215</v>
      </c>
      <c r="I19" s="16" t="s">
        <v>216</v>
      </c>
      <c r="J19" s="16" t="s">
        <v>175</v>
      </c>
      <c r="K19" s="16" t="s">
        <v>210</v>
      </c>
      <c r="L19" s="13">
        <f t="shared" si="1"/>
        <v>22</v>
      </c>
      <c r="M19" s="13">
        <f t="shared" si="2"/>
        <v>19</v>
      </c>
      <c r="N19" s="13">
        <f t="shared" si="3"/>
        <v>1</v>
      </c>
      <c r="O19" s="13">
        <f t="shared" si="4"/>
        <v>1</v>
      </c>
      <c r="P19" s="32" t="str">
        <f t="shared" si="5"/>
        <v>Thành viên</v>
      </c>
      <c r="Q19" s="13">
        <v>0.0</v>
      </c>
      <c r="R19" s="13" t="s">
        <v>55</v>
      </c>
      <c r="S19" s="13" t="s">
        <v>55</v>
      </c>
      <c r="T19" s="13">
        <f>COUNTIFS('4. Chi tiết Sự kiện'!$C$4:$C$103, A19, '4. Chi tiết Sự kiện'!$E$4:$E$103, "Khách mời", '4. Chi tiết Sự kiện'!$H$4:$H$103, "Có", '4. Chi tiết Sự kiện'!$B$4:$B$103, "&gt;="&amp;$V$1, '4. Chi tiết Sự kiện'!$B$4:$B$103, "&lt;="&amp;$V$2)</f>
        <v>0</v>
      </c>
      <c r="U19" s="13">
        <f>COUNTIFS('4. Chi tiết Sự kiện'!$F$4:$F$103, A19, '4. Chi tiết Sự kiện'!$B$4:$B$103, "&gt;="&amp;$V$1, '4. Chi tiết Sự kiện'!$B$4:$B$103, "&lt;="&amp;$V$2)</f>
        <v>0</v>
      </c>
      <c r="V19" s="13">
        <f>COUNTIFS('4. Chi tiết Sự kiện'!$F$4:$F$103, A19, '4. Chi tiết Sự kiện'!$E$4:$E$103, "Khách mời", '4. Chi tiết Sự kiện'!$B$4:$B$103, "&gt;="&amp;$V$1, '4. Chi tiết Sự kiện'!$B$4:$B$103, "&lt;="&amp;$V$2)</f>
        <v>0</v>
      </c>
      <c r="W19" s="24">
        <f>SUMIFS('4. Chi tiết Sự kiện'!$L$4:$L$103, '4. Chi tiết Sự kiện'!$C$4:$C$103, A19, '4. Chi tiết Sự kiện'!$B$4:$B$103, "&gt;="&amp;$V$1, '4. Chi tiết Sự kiện'!$B$4:$B$103, "&lt;="&amp;$V$2)</f>
        <v>0</v>
      </c>
      <c r="X19" s="24">
        <f>SUMIFS('4. Chi tiết Sự kiện'!$M$4:$M$103, '4. Chi tiết Sự kiện'!$C$4:$C$103, A19, '4. Chi tiết Sự kiện'!$B$4:$B$103, "&gt;="&amp;$V$1, '4. Chi tiết Sự kiện'!$B$4:$B$103, "&lt;="&amp;$V$2)</f>
        <v>0</v>
      </c>
      <c r="Y19" s="24">
        <f>SUMIFS('5. Nhật ký Hợp đồng'!$K$4:$K$103, '5. Nhật ký Hợp đồng'!$E$4:$E$103, A19, '5. Nhật ký Hợp đồng'!$N$4:$N$103, "Đã duyệt", '5. Nhật ký Hợp đồng'!$B$4:$B$103, "&gt;="&amp;$V$1, '5. Nhật ký Hợp đồng'!$B$4:$B$103, "&lt;="&amp;$V$2) + SUMIFS('5. Nhật ký Hợp đồng'!$L$4:$L$103, '5. Nhật ký Hợp đồng'!$G$4:$G$103, A19, '5. Nhật ký Hợp đồng'!$N$4:$N$103, "Đã duyệt", '5. Nhật ký Hợp đồng'!$B$4:$B$103, "&gt;="&amp;$V$1, '5. Nhật ký Hợp đồng'!$B$4:$B$103, "&lt;="&amp;$V$2) + SUMIFS('5. Nhật ký Hợp đồng'!$M$4:$M$103, '5. Nhật ký Hợp đồng'!$I$4:$I$103, A19, '5. Nhật ký Hợp đồng'!$N$4:$N$103, "Đã duyệt", '5. Nhật ký Hợp đồng'!$B$4:$B$103, "&gt;="&amp;$V$1, '5. Nhật ký Hợp đồng'!$B$4:$B$103, "&lt;="&amp;$V$2)</f>
        <v>0</v>
      </c>
      <c r="Z19" s="24">
        <f>SUMIFS('7. Nhật ký Đào tạo'!$L$4:$L$103, '7. Nhật ký Đào tạo'!$B$4:$B$103, A19, '7. Nhật ký Đào tạo'!$K$4:$K$103, "Đã duyệt", '7. Nhật ký Đào tạo'!$M$4:$M$103, "&gt;="&amp;$V$1, '7. Nhật ký Đào tạo'!$M$4:$M$103, "&lt;="&amp;$V$2)</f>
        <v>0</v>
      </c>
      <c r="AA19" s="30">
        <f t="shared" si="6"/>
        <v>0</v>
      </c>
    </row>
    <row r="20" ht="15.0" customHeight="1">
      <c r="A20" s="13" t="s">
        <v>235</v>
      </c>
      <c r="B20" s="16" t="s">
        <v>236</v>
      </c>
      <c r="C20" s="13" t="s">
        <v>235</v>
      </c>
      <c r="D20" s="13" t="s">
        <v>237</v>
      </c>
      <c r="E20" s="13" t="s">
        <v>238</v>
      </c>
      <c r="F20" s="16" t="s">
        <v>69</v>
      </c>
      <c r="G20" s="16" t="s">
        <v>239</v>
      </c>
      <c r="H20" s="13" t="s">
        <v>215</v>
      </c>
      <c r="I20" s="16" t="s">
        <v>216</v>
      </c>
      <c r="J20" s="16" t="s">
        <v>175</v>
      </c>
      <c r="K20" s="16" t="s">
        <v>210</v>
      </c>
      <c r="L20" s="13">
        <f t="shared" si="1"/>
        <v>22</v>
      </c>
      <c r="M20" s="13">
        <f t="shared" si="2"/>
        <v>19</v>
      </c>
      <c r="N20" s="13">
        <f t="shared" si="3"/>
        <v>1</v>
      </c>
      <c r="O20" s="13">
        <f t="shared" si="4"/>
        <v>1</v>
      </c>
      <c r="P20" s="32" t="str">
        <f t="shared" si="5"/>
        <v>Thành viên</v>
      </c>
      <c r="Q20" s="13">
        <v>0.0</v>
      </c>
      <c r="R20" s="13" t="s">
        <v>55</v>
      </c>
      <c r="S20" s="13" t="s">
        <v>55</v>
      </c>
      <c r="T20" s="13">
        <f>COUNTIFS('4. Chi tiết Sự kiện'!$C$4:$C$103, A20, '4. Chi tiết Sự kiện'!$E$4:$E$103, "Khách mời", '4. Chi tiết Sự kiện'!$H$4:$H$103, "Có", '4. Chi tiết Sự kiện'!$B$4:$B$103, "&gt;="&amp;$V$1, '4. Chi tiết Sự kiện'!$B$4:$B$103, "&lt;="&amp;$V$2)</f>
        <v>0</v>
      </c>
      <c r="U20" s="13">
        <f>COUNTIFS('4. Chi tiết Sự kiện'!$F$4:$F$103, A20, '4. Chi tiết Sự kiện'!$B$4:$B$103, "&gt;="&amp;$V$1, '4. Chi tiết Sự kiện'!$B$4:$B$103, "&lt;="&amp;$V$2)</f>
        <v>0</v>
      </c>
      <c r="V20" s="13">
        <f>COUNTIFS('4. Chi tiết Sự kiện'!$F$4:$F$103, A20, '4. Chi tiết Sự kiện'!$E$4:$E$103, "Khách mời", '4. Chi tiết Sự kiện'!$B$4:$B$103, "&gt;="&amp;$V$1, '4. Chi tiết Sự kiện'!$B$4:$B$103, "&lt;="&amp;$V$2)</f>
        <v>0</v>
      </c>
      <c r="W20" s="24">
        <f>SUMIFS('4. Chi tiết Sự kiện'!$L$4:$L$103, '4. Chi tiết Sự kiện'!$C$4:$C$103, A20, '4. Chi tiết Sự kiện'!$B$4:$B$103, "&gt;="&amp;$V$1, '4. Chi tiết Sự kiện'!$B$4:$B$103, "&lt;="&amp;$V$2)</f>
        <v>0</v>
      </c>
      <c r="X20" s="24">
        <f>SUMIFS('4. Chi tiết Sự kiện'!$M$4:$M$103, '4. Chi tiết Sự kiện'!$C$4:$C$103, A20, '4. Chi tiết Sự kiện'!$B$4:$B$103, "&gt;="&amp;$V$1, '4. Chi tiết Sự kiện'!$B$4:$B$103, "&lt;="&amp;$V$2)</f>
        <v>0</v>
      </c>
      <c r="Y20" s="24">
        <f>SUMIFS('5. Nhật ký Hợp đồng'!$K$4:$K$103, '5. Nhật ký Hợp đồng'!$E$4:$E$103, A20, '5. Nhật ký Hợp đồng'!$N$4:$N$103, "Đã duyệt", '5. Nhật ký Hợp đồng'!$B$4:$B$103, "&gt;="&amp;$V$1, '5. Nhật ký Hợp đồng'!$B$4:$B$103, "&lt;="&amp;$V$2) + SUMIFS('5. Nhật ký Hợp đồng'!$L$4:$L$103, '5. Nhật ký Hợp đồng'!$G$4:$G$103, A20, '5. Nhật ký Hợp đồng'!$N$4:$N$103, "Đã duyệt", '5. Nhật ký Hợp đồng'!$B$4:$B$103, "&gt;="&amp;$V$1, '5. Nhật ký Hợp đồng'!$B$4:$B$103, "&lt;="&amp;$V$2) + SUMIFS('5. Nhật ký Hợp đồng'!$M$4:$M$103, '5. Nhật ký Hợp đồng'!$I$4:$I$103, A20, '5. Nhật ký Hợp đồng'!$N$4:$N$103, "Đã duyệt", '5. Nhật ký Hợp đồng'!$B$4:$B$103, "&gt;="&amp;$V$1, '5. Nhật ký Hợp đồng'!$B$4:$B$103, "&lt;="&amp;$V$2)</f>
        <v>0</v>
      </c>
      <c r="Z20" s="24">
        <f>SUMIFS('7. Nhật ký Đào tạo'!$L$4:$L$103, '7. Nhật ký Đào tạo'!$B$4:$B$103, A20, '7. Nhật ký Đào tạo'!$K$4:$K$103, "Đã duyệt", '7. Nhật ký Đào tạo'!$M$4:$M$103, "&gt;="&amp;$V$1, '7. Nhật ký Đào tạo'!$M$4:$M$103, "&lt;="&amp;$V$2)</f>
        <v>0</v>
      </c>
      <c r="AA20" s="30">
        <f t="shared" si="6"/>
        <v>0</v>
      </c>
    </row>
    <row r="21" ht="15.0" customHeight="1">
      <c r="A21" s="13" t="s">
        <v>240</v>
      </c>
      <c r="B21" s="16" t="s">
        <v>241</v>
      </c>
      <c r="C21" s="13" t="s">
        <v>240</v>
      </c>
      <c r="D21" s="13" t="s">
        <v>242</v>
      </c>
      <c r="E21" s="13" t="s">
        <v>243</v>
      </c>
      <c r="F21" s="16" t="s">
        <v>69</v>
      </c>
      <c r="G21" s="16" t="s">
        <v>244</v>
      </c>
      <c r="H21" s="13" t="s">
        <v>215</v>
      </c>
      <c r="I21" s="16" t="s">
        <v>216</v>
      </c>
      <c r="J21" s="16" t="s">
        <v>175</v>
      </c>
      <c r="K21" s="16" t="s">
        <v>210</v>
      </c>
      <c r="L21" s="13">
        <f t="shared" si="1"/>
        <v>22</v>
      </c>
      <c r="M21" s="13">
        <f t="shared" si="2"/>
        <v>19</v>
      </c>
      <c r="N21" s="13">
        <f t="shared" si="3"/>
        <v>1</v>
      </c>
      <c r="O21" s="13">
        <f t="shared" si="4"/>
        <v>1</v>
      </c>
      <c r="P21" s="32" t="str">
        <f t="shared" si="5"/>
        <v>Thành viên</v>
      </c>
      <c r="Q21" s="13">
        <v>0.0</v>
      </c>
      <c r="R21" s="13" t="s">
        <v>55</v>
      </c>
      <c r="S21" s="13" t="s">
        <v>55</v>
      </c>
      <c r="T21" s="13">
        <f>COUNTIFS('4. Chi tiết Sự kiện'!$C$4:$C$103, A21, '4. Chi tiết Sự kiện'!$E$4:$E$103, "Khách mời", '4. Chi tiết Sự kiện'!$H$4:$H$103, "Có", '4. Chi tiết Sự kiện'!$B$4:$B$103, "&gt;="&amp;$V$1, '4. Chi tiết Sự kiện'!$B$4:$B$103, "&lt;="&amp;$V$2)</f>
        <v>0</v>
      </c>
      <c r="U21" s="13">
        <f>COUNTIFS('4. Chi tiết Sự kiện'!$F$4:$F$103, A21, '4. Chi tiết Sự kiện'!$B$4:$B$103, "&gt;="&amp;$V$1, '4. Chi tiết Sự kiện'!$B$4:$B$103, "&lt;="&amp;$V$2)</f>
        <v>0</v>
      </c>
      <c r="V21" s="13">
        <f>COUNTIFS('4. Chi tiết Sự kiện'!$F$4:$F$103, A21, '4. Chi tiết Sự kiện'!$E$4:$E$103, "Khách mời", '4. Chi tiết Sự kiện'!$B$4:$B$103, "&gt;="&amp;$V$1, '4. Chi tiết Sự kiện'!$B$4:$B$103, "&lt;="&amp;$V$2)</f>
        <v>0</v>
      </c>
      <c r="W21" s="24">
        <f>SUMIFS('4. Chi tiết Sự kiện'!$L$4:$L$103, '4. Chi tiết Sự kiện'!$C$4:$C$103, A21, '4. Chi tiết Sự kiện'!$B$4:$B$103, "&gt;="&amp;$V$1, '4. Chi tiết Sự kiện'!$B$4:$B$103, "&lt;="&amp;$V$2)</f>
        <v>0</v>
      </c>
      <c r="X21" s="24">
        <f>SUMIFS('4. Chi tiết Sự kiện'!$M$4:$M$103, '4. Chi tiết Sự kiện'!$C$4:$C$103, A21, '4. Chi tiết Sự kiện'!$B$4:$B$103, "&gt;="&amp;$V$1, '4. Chi tiết Sự kiện'!$B$4:$B$103, "&lt;="&amp;$V$2)</f>
        <v>0</v>
      </c>
      <c r="Y21" s="24">
        <f>SUMIFS('5. Nhật ký Hợp đồng'!$K$4:$K$103, '5. Nhật ký Hợp đồng'!$E$4:$E$103, A21, '5. Nhật ký Hợp đồng'!$N$4:$N$103, "Đã duyệt", '5. Nhật ký Hợp đồng'!$B$4:$B$103, "&gt;="&amp;$V$1, '5. Nhật ký Hợp đồng'!$B$4:$B$103, "&lt;="&amp;$V$2) + SUMIFS('5. Nhật ký Hợp đồng'!$L$4:$L$103, '5. Nhật ký Hợp đồng'!$G$4:$G$103, A21, '5. Nhật ký Hợp đồng'!$N$4:$N$103, "Đã duyệt", '5. Nhật ký Hợp đồng'!$B$4:$B$103, "&gt;="&amp;$V$1, '5. Nhật ký Hợp đồng'!$B$4:$B$103, "&lt;="&amp;$V$2) + SUMIFS('5. Nhật ký Hợp đồng'!$M$4:$M$103, '5. Nhật ký Hợp đồng'!$I$4:$I$103, A21, '5. Nhật ký Hợp đồng'!$N$4:$N$103, "Đã duyệt", '5. Nhật ký Hợp đồng'!$B$4:$B$103, "&gt;="&amp;$V$1, '5. Nhật ký Hợp đồng'!$B$4:$B$103, "&lt;="&amp;$V$2)</f>
        <v>0</v>
      </c>
      <c r="Z21" s="24">
        <f>SUMIFS('7. Nhật ký Đào tạo'!$L$4:$L$103, '7. Nhật ký Đào tạo'!$B$4:$B$103, A21, '7. Nhật ký Đào tạo'!$K$4:$K$103, "Đã duyệt", '7. Nhật ký Đào tạo'!$M$4:$M$103, "&gt;="&amp;$V$1, '7. Nhật ký Đào tạo'!$M$4:$M$103, "&lt;="&amp;$V$2)</f>
        <v>0</v>
      </c>
      <c r="AA21" s="30">
        <f t="shared" si="6"/>
        <v>0</v>
      </c>
    </row>
    <row r="22" ht="15.0" customHeight="1">
      <c r="A22" s="13" t="s">
        <v>245</v>
      </c>
      <c r="B22" s="16" t="s">
        <v>246</v>
      </c>
      <c r="C22" s="13" t="s">
        <v>245</v>
      </c>
      <c r="D22" s="13" t="s">
        <v>247</v>
      </c>
      <c r="E22" s="13" t="s">
        <v>248</v>
      </c>
      <c r="F22" s="16" t="s">
        <v>69</v>
      </c>
      <c r="G22" s="16" t="s">
        <v>249</v>
      </c>
      <c r="H22" s="13" t="s">
        <v>215</v>
      </c>
      <c r="I22" s="16" t="s">
        <v>216</v>
      </c>
      <c r="J22" s="16" t="s">
        <v>175</v>
      </c>
      <c r="K22" s="16" t="s">
        <v>210</v>
      </c>
      <c r="L22" s="13">
        <f t="shared" si="1"/>
        <v>22</v>
      </c>
      <c r="M22" s="13">
        <f t="shared" si="2"/>
        <v>19</v>
      </c>
      <c r="N22" s="13">
        <f t="shared" si="3"/>
        <v>1</v>
      </c>
      <c r="O22" s="13">
        <f t="shared" si="4"/>
        <v>1</v>
      </c>
      <c r="P22" s="32" t="str">
        <f t="shared" si="5"/>
        <v>Thành viên</v>
      </c>
      <c r="Q22" s="13">
        <v>0.0</v>
      </c>
      <c r="R22" s="13" t="s">
        <v>55</v>
      </c>
      <c r="S22" s="13" t="s">
        <v>55</v>
      </c>
      <c r="T22" s="13">
        <f>COUNTIFS('4. Chi tiết Sự kiện'!$C$4:$C$103, A22, '4. Chi tiết Sự kiện'!$E$4:$E$103, "Khách mời", '4. Chi tiết Sự kiện'!$H$4:$H$103, "Có", '4. Chi tiết Sự kiện'!$B$4:$B$103, "&gt;="&amp;$V$1, '4. Chi tiết Sự kiện'!$B$4:$B$103, "&lt;="&amp;$V$2)</f>
        <v>0</v>
      </c>
      <c r="U22" s="13">
        <f>COUNTIFS('4. Chi tiết Sự kiện'!$F$4:$F$103, A22, '4. Chi tiết Sự kiện'!$B$4:$B$103, "&gt;="&amp;$V$1, '4. Chi tiết Sự kiện'!$B$4:$B$103, "&lt;="&amp;$V$2)</f>
        <v>0</v>
      </c>
      <c r="V22" s="13">
        <f>COUNTIFS('4. Chi tiết Sự kiện'!$F$4:$F$103, A22, '4. Chi tiết Sự kiện'!$E$4:$E$103, "Khách mời", '4. Chi tiết Sự kiện'!$B$4:$B$103, "&gt;="&amp;$V$1, '4. Chi tiết Sự kiện'!$B$4:$B$103, "&lt;="&amp;$V$2)</f>
        <v>0</v>
      </c>
      <c r="W22" s="24">
        <f>SUMIFS('4. Chi tiết Sự kiện'!$L$4:$L$103, '4. Chi tiết Sự kiện'!$C$4:$C$103, A22, '4. Chi tiết Sự kiện'!$B$4:$B$103, "&gt;="&amp;$V$1, '4. Chi tiết Sự kiện'!$B$4:$B$103, "&lt;="&amp;$V$2)</f>
        <v>0</v>
      </c>
      <c r="X22" s="24">
        <f>SUMIFS('4. Chi tiết Sự kiện'!$M$4:$M$103, '4. Chi tiết Sự kiện'!$C$4:$C$103, A22, '4. Chi tiết Sự kiện'!$B$4:$B$103, "&gt;="&amp;$V$1, '4. Chi tiết Sự kiện'!$B$4:$B$103, "&lt;="&amp;$V$2)</f>
        <v>0</v>
      </c>
      <c r="Y22" s="24">
        <f>SUMIFS('5. Nhật ký Hợp đồng'!$K$4:$K$103, '5. Nhật ký Hợp đồng'!$E$4:$E$103, A22, '5. Nhật ký Hợp đồng'!$N$4:$N$103, "Đã duyệt", '5. Nhật ký Hợp đồng'!$B$4:$B$103, "&gt;="&amp;$V$1, '5. Nhật ký Hợp đồng'!$B$4:$B$103, "&lt;="&amp;$V$2) + SUMIFS('5. Nhật ký Hợp đồng'!$L$4:$L$103, '5. Nhật ký Hợp đồng'!$G$4:$G$103, A22, '5. Nhật ký Hợp đồng'!$N$4:$N$103, "Đã duyệt", '5. Nhật ký Hợp đồng'!$B$4:$B$103, "&gt;="&amp;$V$1, '5. Nhật ký Hợp đồng'!$B$4:$B$103, "&lt;="&amp;$V$2) + SUMIFS('5. Nhật ký Hợp đồng'!$M$4:$M$103, '5. Nhật ký Hợp đồng'!$I$4:$I$103, A22, '5. Nhật ký Hợp đồng'!$N$4:$N$103, "Đã duyệt", '5. Nhật ký Hợp đồng'!$B$4:$B$103, "&gt;="&amp;$V$1, '5. Nhật ký Hợp đồng'!$B$4:$B$103, "&lt;="&amp;$V$2)</f>
        <v>0</v>
      </c>
      <c r="Z22" s="24">
        <f>SUMIFS('7. Nhật ký Đào tạo'!$L$4:$L$103, '7. Nhật ký Đào tạo'!$B$4:$B$103, A22, '7. Nhật ký Đào tạo'!$K$4:$K$103, "Đã duyệt", '7. Nhật ký Đào tạo'!$M$4:$M$103, "&gt;="&amp;$V$1, '7. Nhật ký Đào tạo'!$M$4:$M$103, "&lt;="&amp;$V$2)</f>
        <v>0</v>
      </c>
      <c r="AA22" s="30">
        <f t="shared" si="6"/>
        <v>0</v>
      </c>
    </row>
    <row r="23" ht="15.0" customHeight="1">
      <c r="A23" s="13" t="s">
        <v>251</v>
      </c>
      <c r="B23" s="16" t="s">
        <v>253</v>
      </c>
      <c r="C23" s="13" t="s">
        <v>251</v>
      </c>
      <c r="D23" s="13" t="s">
        <v>254</v>
      </c>
      <c r="E23" s="13" t="s">
        <v>256</v>
      </c>
      <c r="F23" s="16" t="s">
        <v>69</v>
      </c>
      <c r="G23" s="16" t="s">
        <v>258</v>
      </c>
      <c r="H23" s="13" t="s">
        <v>215</v>
      </c>
      <c r="I23" s="16" t="s">
        <v>216</v>
      </c>
      <c r="J23" s="16" t="s">
        <v>175</v>
      </c>
      <c r="K23" s="16" t="s">
        <v>210</v>
      </c>
      <c r="L23" s="13">
        <f t="shared" si="1"/>
        <v>22</v>
      </c>
      <c r="M23" s="13">
        <f t="shared" si="2"/>
        <v>19</v>
      </c>
      <c r="N23" s="13">
        <f t="shared" si="3"/>
        <v>1</v>
      </c>
      <c r="O23" s="13">
        <f t="shared" si="4"/>
        <v>1</v>
      </c>
      <c r="P23" s="32" t="str">
        <f t="shared" si="5"/>
        <v>Thành viên</v>
      </c>
      <c r="Q23" s="13">
        <v>0.0</v>
      </c>
      <c r="R23" s="13" t="s">
        <v>55</v>
      </c>
      <c r="S23" s="13" t="s">
        <v>55</v>
      </c>
      <c r="T23" s="13">
        <f>COUNTIFS('4. Chi tiết Sự kiện'!$C$4:$C$103, A23, '4. Chi tiết Sự kiện'!$E$4:$E$103, "Khách mời", '4. Chi tiết Sự kiện'!$H$4:$H$103, "Có", '4. Chi tiết Sự kiện'!$B$4:$B$103, "&gt;="&amp;$V$1, '4. Chi tiết Sự kiện'!$B$4:$B$103, "&lt;="&amp;$V$2)</f>
        <v>0</v>
      </c>
      <c r="U23" s="13">
        <f>COUNTIFS('4. Chi tiết Sự kiện'!$F$4:$F$103, A23, '4. Chi tiết Sự kiện'!$B$4:$B$103, "&gt;="&amp;$V$1, '4. Chi tiết Sự kiện'!$B$4:$B$103, "&lt;="&amp;$V$2)</f>
        <v>0</v>
      </c>
      <c r="V23" s="13">
        <f>COUNTIFS('4. Chi tiết Sự kiện'!$F$4:$F$103, A23, '4. Chi tiết Sự kiện'!$E$4:$E$103, "Khách mời", '4. Chi tiết Sự kiện'!$B$4:$B$103, "&gt;="&amp;$V$1, '4. Chi tiết Sự kiện'!$B$4:$B$103, "&lt;="&amp;$V$2)</f>
        <v>0</v>
      </c>
      <c r="W23" s="24">
        <f>SUMIFS('4. Chi tiết Sự kiện'!$L$4:$L$103, '4. Chi tiết Sự kiện'!$C$4:$C$103, A23, '4. Chi tiết Sự kiện'!$B$4:$B$103, "&gt;="&amp;$V$1, '4. Chi tiết Sự kiện'!$B$4:$B$103, "&lt;="&amp;$V$2)</f>
        <v>0</v>
      </c>
      <c r="X23" s="24">
        <f>SUMIFS('4. Chi tiết Sự kiện'!$M$4:$M$103, '4. Chi tiết Sự kiện'!$C$4:$C$103, A23, '4. Chi tiết Sự kiện'!$B$4:$B$103, "&gt;="&amp;$V$1, '4. Chi tiết Sự kiện'!$B$4:$B$103, "&lt;="&amp;$V$2)</f>
        <v>0</v>
      </c>
      <c r="Y23" s="24">
        <f>SUMIFS('5. Nhật ký Hợp đồng'!$K$4:$K$103, '5. Nhật ký Hợp đồng'!$E$4:$E$103, A23, '5. Nhật ký Hợp đồng'!$N$4:$N$103, "Đã duyệt", '5. Nhật ký Hợp đồng'!$B$4:$B$103, "&gt;="&amp;$V$1, '5. Nhật ký Hợp đồng'!$B$4:$B$103, "&lt;="&amp;$V$2) + SUMIFS('5. Nhật ký Hợp đồng'!$L$4:$L$103, '5. Nhật ký Hợp đồng'!$G$4:$G$103, A23, '5. Nhật ký Hợp đồng'!$N$4:$N$103, "Đã duyệt", '5. Nhật ký Hợp đồng'!$B$4:$B$103, "&gt;="&amp;$V$1, '5. Nhật ký Hợp đồng'!$B$4:$B$103, "&lt;="&amp;$V$2) + SUMIFS('5. Nhật ký Hợp đồng'!$M$4:$M$103, '5. Nhật ký Hợp đồng'!$I$4:$I$103, A23, '5. Nhật ký Hợp đồng'!$N$4:$N$103, "Đã duyệt", '5. Nhật ký Hợp đồng'!$B$4:$B$103, "&gt;="&amp;$V$1, '5. Nhật ký Hợp đồng'!$B$4:$B$103, "&lt;="&amp;$V$2)</f>
        <v>0</v>
      </c>
      <c r="Z23" s="24">
        <f>SUMIFS('7. Nhật ký Đào tạo'!$L$4:$L$103, '7. Nhật ký Đào tạo'!$B$4:$B$103, A23, '7. Nhật ký Đào tạo'!$K$4:$K$103, "Đã duyệt", '7. Nhật ký Đào tạo'!$M$4:$M$103, "&gt;="&amp;$V$1, '7. Nhật ký Đào tạo'!$M$4:$M$103, "&lt;="&amp;$V$2)</f>
        <v>0</v>
      </c>
      <c r="AA23" s="30">
        <f t="shared" si="6"/>
        <v>0</v>
      </c>
    </row>
    <row r="24" ht="15.0" customHeight="1">
      <c r="A24" s="13" t="s">
        <v>276</v>
      </c>
      <c r="B24" s="16" t="s">
        <v>277</v>
      </c>
      <c r="C24" s="13" t="s">
        <v>276</v>
      </c>
      <c r="D24" s="13" t="s">
        <v>278</v>
      </c>
      <c r="E24" s="13" t="s">
        <v>280</v>
      </c>
      <c r="F24" s="16" t="s">
        <v>69</v>
      </c>
      <c r="G24" s="16" t="s">
        <v>281</v>
      </c>
      <c r="H24" s="13" t="s">
        <v>215</v>
      </c>
      <c r="I24" s="16" t="s">
        <v>216</v>
      </c>
      <c r="J24" s="16" t="s">
        <v>175</v>
      </c>
      <c r="K24" s="16" t="s">
        <v>210</v>
      </c>
      <c r="L24" s="13">
        <f t="shared" si="1"/>
        <v>22</v>
      </c>
      <c r="M24" s="13">
        <f t="shared" si="2"/>
        <v>19</v>
      </c>
      <c r="N24" s="13">
        <f t="shared" si="3"/>
        <v>1</v>
      </c>
      <c r="O24" s="13">
        <f t="shared" si="4"/>
        <v>1</v>
      </c>
      <c r="P24" s="32" t="str">
        <f t="shared" si="5"/>
        <v>Thành viên</v>
      </c>
      <c r="Q24" s="13">
        <v>0.0</v>
      </c>
      <c r="R24" s="13" t="s">
        <v>55</v>
      </c>
      <c r="S24" s="13" t="s">
        <v>55</v>
      </c>
      <c r="T24" s="13">
        <f>COUNTIFS('4. Chi tiết Sự kiện'!$C$4:$C$103, A24, '4. Chi tiết Sự kiện'!$E$4:$E$103, "Khách mời", '4. Chi tiết Sự kiện'!$H$4:$H$103, "Có", '4. Chi tiết Sự kiện'!$B$4:$B$103, "&gt;="&amp;$V$1, '4. Chi tiết Sự kiện'!$B$4:$B$103, "&lt;="&amp;$V$2)</f>
        <v>0</v>
      </c>
      <c r="U24" s="13">
        <f>COUNTIFS('4. Chi tiết Sự kiện'!$F$4:$F$103, A24, '4. Chi tiết Sự kiện'!$B$4:$B$103, "&gt;="&amp;$V$1, '4. Chi tiết Sự kiện'!$B$4:$B$103, "&lt;="&amp;$V$2)</f>
        <v>0</v>
      </c>
      <c r="V24" s="13">
        <f>COUNTIFS('4. Chi tiết Sự kiện'!$F$4:$F$103, A24, '4. Chi tiết Sự kiện'!$E$4:$E$103, "Khách mời", '4. Chi tiết Sự kiện'!$B$4:$B$103, "&gt;="&amp;$V$1, '4. Chi tiết Sự kiện'!$B$4:$B$103, "&lt;="&amp;$V$2)</f>
        <v>0</v>
      </c>
      <c r="W24" s="24">
        <f>SUMIFS('4. Chi tiết Sự kiện'!$L$4:$L$103, '4. Chi tiết Sự kiện'!$C$4:$C$103, A24, '4. Chi tiết Sự kiện'!$B$4:$B$103, "&gt;="&amp;$V$1, '4. Chi tiết Sự kiện'!$B$4:$B$103, "&lt;="&amp;$V$2)</f>
        <v>0</v>
      </c>
      <c r="X24" s="24">
        <f>SUMIFS('4. Chi tiết Sự kiện'!$M$4:$M$103, '4. Chi tiết Sự kiện'!$C$4:$C$103, A24, '4. Chi tiết Sự kiện'!$B$4:$B$103, "&gt;="&amp;$V$1, '4. Chi tiết Sự kiện'!$B$4:$B$103, "&lt;="&amp;$V$2)</f>
        <v>0</v>
      </c>
      <c r="Y24" s="24">
        <f>SUMIFS('5. Nhật ký Hợp đồng'!$K$4:$K$103, '5. Nhật ký Hợp đồng'!$E$4:$E$103, A24, '5. Nhật ký Hợp đồng'!$N$4:$N$103, "Đã duyệt", '5. Nhật ký Hợp đồng'!$B$4:$B$103, "&gt;="&amp;$V$1, '5. Nhật ký Hợp đồng'!$B$4:$B$103, "&lt;="&amp;$V$2) + SUMIFS('5. Nhật ký Hợp đồng'!$L$4:$L$103, '5. Nhật ký Hợp đồng'!$G$4:$G$103, A24, '5. Nhật ký Hợp đồng'!$N$4:$N$103, "Đã duyệt", '5. Nhật ký Hợp đồng'!$B$4:$B$103, "&gt;="&amp;$V$1, '5. Nhật ký Hợp đồng'!$B$4:$B$103, "&lt;="&amp;$V$2) + SUMIFS('5. Nhật ký Hợp đồng'!$M$4:$M$103, '5. Nhật ký Hợp đồng'!$I$4:$I$103, A24, '5. Nhật ký Hợp đồng'!$N$4:$N$103, "Đã duyệt", '5. Nhật ký Hợp đồng'!$B$4:$B$103, "&gt;="&amp;$V$1, '5. Nhật ký Hợp đồng'!$B$4:$B$103, "&lt;="&amp;$V$2)</f>
        <v>0</v>
      </c>
      <c r="Z24" s="24">
        <f>SUMIFS('7. Nhật ký Đào tạo'!$L$4:$L$103, '7. Nhật ký Đào tạo'!$B$4:$B$103, A24, '7. Nhật ký Đào tạo'!$K$4:$K$103, "Đã duyệt", '7. Nhật ký Đào tạo'!$M$4:$M$103, "&gt;="&amp;$V$1, '7. Nhật ký Đào tạo'!$M$4:$M$103, "&lt;="&amp;$V$2)</f>
        <v>0</v>
      </c>
      <c r="AA24" s="30">
        <f t="shared" si="6"/>
        <v>0</v>
      </c>
    </row>
    <row r="25" ht="15.0" customHeight="1">
      <c r="A25" s="13" t="s">
        <v>291</v>
      </c>
      <c r="B25" s="16" t="s">
        <v>292</v>
      </c>
      <c r="C25" s="13" t="s">
        <v>291</v>
      </c>
      <c r="D25" s="13" t="s">
        <v>293</v>
      </c>
      <c r="E25" s="13" t="s">
        <v>294</v>
      </c>
      <c r="F25" s="16" t="s">
        <v>69</v>
      </c>
      <c r="G25" s="16" t="s">
        <v>295</v>
      </c>
      <c r="H25" s="13" t="s">
        <v>215</v>
      </c>
      <c r="I25" s="16" t="s">
        <v>216</v>
      </c>
      <c r="J25" s="16" t="s">
        <v>175</v>
      </c>
      <c r="K25" s="16" t="s">
        <v>210</v>
      </c>
      <c r="L25" s="13">
        <f t="shared" si="1"/>
        <v>22</v>
      </c>
      <c r="M25" s="13">
        <f t="shared" si="2"/>
        <v>19</v>
      </c>
      <c r="N25" s="13">
        <f t="shared" si="3"/>
        <v>1</v>
      </c>
      <c r="O25" s="13">
        <f t="shared" si="4"/>
        <v>1</v>
      </c>
      <c r="P25" s="32" t="str">
        <f t="shared" si="5"/>
        <v>Thành viên</v>
      </c>
      <c r="Q25" s="13">
        <v>0.0</v>
      </c>
      <c r="R25" s="13" t="s">
        <v>55</v>
      </c>
      <c r="S25" s="13" t="s">
        <v>55</v>
      </c>
      <c r="T25" s="13">
        <f>COUNTIFS('4. Chi tiết Sự kiện'!$C$4:$C$103, A25, '4. Chi tiết Sự kiện'!$E$4:$E$103, "Khách mời", '4. Chi tiết Sự kiện'!$H$4:$H$103, "Có", '4. Chi tiết Sự kiện'!$B$4:$B$103, "&gt;="&amp;$V$1, '4. Chi tiết Sự kiện'!$B$4:$B$103, "&lt;="&amp;$V$2)</f>
        <v>0</v>
      </c>
      <c r="U25" s="13">
        <f>COUNTIFS('4. Chi tiết Sự kiện'!$F$4:$F$103, A25, '4. Chi tiết Sự kiện'!$B$4:$B$103, "&gt;="&amp;$V$1, '4. Chi tiết Sự kiện'!$B$4:$B$103, "&lt;="&amp;$V$2)</f>
        <v>0</v>
      </c>
      <c r="V25" s="13">
        <f>COUNTIFS('4. Chi tiết Sự kiện'!$F$4:$F$103, A25, '4. Chi tiết Sự kiện'!$E$4:$E$103, "Khách mời", '4. Chi tiết Sự kiện'!$B$4:$B$103, "&gt;="&amp;$V$1, '4. Chi tiết Sự kiện'!$B$4:$B$103, "&lt;="&amp;$V$2)</f>
        <v>0</v>
      </c>
      <c r="W25" s="24">
        <f>SUMIFS('4. Chi tiết Sự kiện'!$L$4:$L$103, '4. Chi tiết Sự kiện'!$C$4:$C$103, A25, '4. Chi tiết Sự kiện'!$B$4:$B$103, "&gt;="&amp;$V$1, '4. Chi tiết Sự kiện'!$B$4:$B$103, "&lt;="&amp;$V$2)</f>
        <v>0</v>
      </c>
      <c r="X25" s="24">
        <f>SUMIFS('4. Chi tiết Sự kiện'!$M$4:$M$103, '4. Chi tiết Sự kiện'!$C$4:$C$103, A25, '4. Chi tiết Sự kiện'!$B$4:$B$103, "&gt;="&amp;$V$1, '4. Chi tiết Sự kiện'!$B$4:$B$103, "&lt;="&amp;$V$2)</f>
        <v>0</v>
      </c>
      <c r="Y25" s="24">
        <f>SUMIFS('5. Nhật ký Hợp đồng'!$K$4:$K$103, '5. Nhật ký Hợp đồng'!$E$4:$E$103, A25, '5. Nhật ký Hợp đồng'!$N$4:$N$103, "Đã duyệt", '5. Nhật ký Hợp đồng'!$B$4:$B$103, "&gt;="&amp;$V$1, '5. Nhật ký Hợp đồng'!$B$4:$B$103, "&lt;="&amp;$V$2) + SUMIFS('5. Nhật ký Hợp đồng'!$L$4:$L$103, '5. Nhật ký Hợp đồng'!$G$4:$G$103, A25, '5. Nhật ký Hợp đồng'!$N$4:$N$103, "Đã duyệt", '5. Nhật ký Hợp đồng'!$B$4:$B$103, "&gt;="&amp;$V$1, '5. Nhật ký Hợp đồng'!$B$4:$B$103, "&lt;="&amp;$V$2) + SUMIFS('5. Nhật ký Hợp đồng'!$M$4:$M$103, '5. Nhật ký Hợp đồng'!$I$4:$I$103, A25, '5. Nhật ký Hợp đồng'!$N$4:$N$103, "Đã duyệt", '5. Nhật ký Hợp đồng'!$B$4:$B$103, "&gt;="&amp;$V$1, '5. Nhật ký Hợp đồng'!$B$4:$B$103, "&lt;="&amp;$V$2)</f>
        <v>0</v>
      </c>
      <c r="Z25" s="24">
        <f>SUMIFS('7. Nhật ký Đào tạo'!$L$4:$L$103, '7. Nhật ký Đào tạo'!$B$4:$B$103, A25, '7. Nhật ký Đào tạo'!$K$4:$K$103, "Đã duyệt", '7. Nhật ký Đào tạo'!$M$4:$M$103, "&gt;="&amp;$V$1, '7. Nhật ký Đào tạo'!$M$4:$M$103, "&lt;="&amp;$V$2)</f>
        <v>0</v>
      </c>
      <c r="AA25" s="30">
        <f t="shared" si="6"/>
        <v>0</v>
      </c>
    </row>
    <row r="26" ht="15.0" customHeight="1">
      <c r="A26" s="13" t="s">
        <v>296</v>
      </c>
      <c r="B26" s="16" t="s">
        <v>297</v>
      </c>
      <c r="C26" s="13" t="s">
        <v>296</v>
      </c>
      <c r="D26" s="13" t="s">
        <v>298</v>
      </c>
      <c r="E26" s="13" t="s">
        <v>299</v>
      </c>
      <c r="F26" s="16" t="s">
        <v>69</v>
      </c>
      <c r="G26" s="16" t="s">
        <v>300</v>
      </c>
      <c r="H26" s="13" t="s">
        <v>215</v>
      </c>
      <c r="I26" s="16" t="s">
        <v>216</v>
      </c>
      <c r="J26" s="16" t="s">
        <v>175</v>
      </c>
      <c r="K26" s="16" t="s">
        <v>210</v>
      </c>
      <c r="L26" s="13">
        <f t="shared" si="1"/>
        <v>22</v>
      </c>
      <c r="M26" s="13">
        <f t="shared" si="2"/>
        <v>19</v>
      </c>
      <c r="N26" s="13">
        <f t="shared" si="3"/>
        <v>1</v>
      </c>
      <c r="O26" s="13">
        <f t="shared" si="4"/>
        <v>1</v>
      </c>
      <c r="P26" s="32" t="str">
        <f t="shared" si="5"/>
        <v>Thành viên</v>
      </c>
      <c r="Q26" s="13">
        <v>0.0</v>
      </c>
      <c r="R26" s="13" t="s">
        <v>55</v>
      </c>
      <c r="S26" s="13" t="s">
        <v>55</v>
      </c>
      <c r="T26" s="13">
        <f>COUNTIFS('4. Chi tiết Sự kiện'!$C$4:$C$103, A26, '4. Chi tiết Sự kiện'!$E$4:$E$103, "Khách mời", '4. Chi tiết Sự kiện'!$H$4:$H$103, "Có", '4. Chi tiết Sự kiện'!$B$4:$B$103, "&gt;="&amp;$V$1, '4. Chi tiết Sự kiện'!$B$4:$B$103, "&lt;="&amp;$V$2)</f>
        <v>0</v>
      </c>
      <c r="U26" s="13">
        <f>COUNTIFS('4. Chi tiết Sự kiện'!$F$4:$F$103, A26, '4. Chi tiết Sự kiện'!$B$4:$B$103, "&gt;="&amp;$V$1, '4. Chi tiết Sự kiện'!$B$4:$B$103, "&lt;="&amp;$V$2)</f>
        <v>0</v>
      </c>
      <c r="V26" s="13">
        <f>COUNTIFS('4. Chi tiết Sự kiện'!$F$4:$F$103, A26, '4. Chi tiết Sự kiện'!$E$4:$E$103, "Khách mời", '4. Chi tiết Sự kiện'!$B$4:$B$103, "&gt;="&amp;$V$1, '4. Chi tiết Sự kiện'!$B$4:$B$103, "&lt;="&amp;$V$2)</f>
        <v>0</v>
      </c>
      <c r="W26" s="24">
        <f>SUMIFS('4. Chi tiết Sự kiện'!$L$4:$L$103, '4. Chi tiết Sự kiện'!$C$4:$C$103, A26, '4. Chi tiết Sự kiện'!$B$4:$B$103, "&gt;="&amp;$V$1, '4. Chi tiết Sự kiện'!$B$4:$B$103, "&lt;="&amp;$V$2)</f>
        <v>0</v>
      </c>
      <c r="X26" s="24">
        <f>SUMIFS('4. Chi tiết Sự kiện'!$M$4:$M$103, '4. Chi tiết Sự kiện'!$C$4:$C$103, A26, '4. Chi tiết Sự kiện'!$B$4:$B$103, "&gt;="&amp;$V$1, '4. Chi tiết Sự kiện'!$B$4:$B$103, "&lt;="&amp;$V$2)</f>
        <v>0</v>
      </c>
      <c r="Y26" s="24">
        <f>SUMIFS('5. Nhật ký Hợp đồng'!$K$4:$K$103, '5. Nhật ký Hợp đồng'!$E$4:$E$103, A26, '5. Nhật ký Hợp đồng'!$N$4:$N$103, "Đã duyệt", '5. Nhật ký Hợp đồng'!$B$4:$B$103, "&gt;="&amp;$V$1, '5. Nhật ký Hợp đồng'!$B$4:$B$103, "&lt;="&amp;$V$2) + SUMIFS('5. Nhật ký Hợp đồng'!$L$4:$L$103, '5. Nhật ký Hợp đồng'!$G$4:$G$103, A26, '5. Nhật ký Hợp đồng'!$N$4:$N$103, "Đã duyệt", '5. Nhật ký Hợp đồng'!$B$4:$B$103, "&gt;="&amp;$V$1, '5. Nhật ký Hợp đồng'!$B$4:$B$103, "&lt;="&amp;$V$2) + SUMIFS('5. Nhật ký Hợp đồng'!$M$4:$M$103, '5. Nhật ký Hợp đồng'!$I$4:$I$103, A26, '5. Nhật ký Hợp đồng'!$N$4:$N$103, "Đã duyệt", '5. Nhật ký Hợp đồng'!$B$4:$B$103, "&gt;="&amp;$V$1, '5. Nhật ký Hợp đồng'!$B$4:$B$103, "&lt;="&amp;$V$2)</f>
        <v>0</v>
      </c>
      <c r="Z26" s="24">
        <f>SUMIFS('7. Nhật ký Đào tạo'!$L$4:$L$103, '7. Nhật ký Đào tạo'!$B$4:$B$103, A26, '7. Nhật ký Đào tạo'!$K$4:$K$103, "Đã duyệt", '7. Nhật ký Đào tạo'!$M$4:$M$103, "&gt;="&amp;$V$1, '7. Nhật ký Đào tạo'!$M$4:$M$103, "&lt;="&amp;$V$2)</f>
        <v>0</v>
      </c>
      <c r="AA26" s="30">
        <f t="shared" si="6"/>
        <v>0</v>
      </c>
    </row>
    <row r="27" ht="15.0" customHeight="1">
      <c r="A27" s="13" t="s">
        <v>302</v>
      </c>
      <c r="B27" s="16" t="s">
        <v>303</v>
      </c>
      <c r="C27" s="13" t="s">
        <v>302</v>
      </c>
      <c r="D27" s="13" t="s">
        <v>304</v>
      </c>
      <c r="E27" s="13" t="s">
        <v>305</v>
      </c>
      <c r="F27" s="16" t="s">
        <v>69</v>
      </c>
      <c r="G27" s="16" t="s">
        <v>306</v>
      </c>
      <c r="H27" s="13" t="s">
        <v>215</v>
      </c>
      <c r="I27" s="16" t="s">
        <v>216</v>
      </c>
      <c r="J27" s="16" t="s">
        <v>175</v>
      </c>
      <c r="K27" s="16" t="s">
        <v>210</v>
      </c>
      <c r="L27" s="13">
        <f t="shared" si="1"/>
        <v>22</v>
      </c>
      <c r="M27" s="13">
        <f t="shared" si="2"/>
        <v>19</v>
      </c>
      <c r="N27" s="13">
        <f t="shared" si="3"/>
        <v>1</v>
      </c>
      <c r="O27" s="13">
        <f t="shared" si="4"/>
        <v>1</v>
      </c>
      <c r="P27" s="32" t="str">
        <f t="shared" si="5"/>
        <v>Thành viên</v>
      </c>
      <c r="Q27" s="13">
        <v>0.0</v>
      </c>
      <c r="R27" s="13" t="s">
        <v>55</v>
      </c>
      <c r="S27" s="13" t="s">
        <v>55</v>
      </c>
      <c r="T27" s="13">
        <f>COUNTIFS('4. Chi tiết Sự kiện'!$C$4:$C$103, A27, '4. Chi tiết Sự kiện'!$E$4:$E$103, "Khách mời", '4. Chi tiết Sự kiện'!$H$4:$H$103, "Có", '4. Chi tiết Sự kiện'!$B$4:$B$103, "&gt;="&amp;$V$1, '4. Chi tiết Sự kiện'!$B$4:$B$103, "&lt;="&amp;$V$2)</f>
        <v>0</v>
      </c>
      <c r="U27" s="13">
        <f>COUNTIFS('4. Chi tiết Sự kiện'!$F$4:$F$103, A27, '4. Chi tiết Sự kiện'!$B$4:$B$103, "&gt;="&amp;$V$1, '4. Chi tiết Sự kiện'!$B$4:$B$103, "&lt;="&amp;$V$2)</f>
        <v>0</v>
      </c>
      <c r="V27" s="13">
        <f>COUNTIFS('4. Chi tiết Sự kiện'!$F$4:$F$103, A27, '4. Chi tiết Sự kiện'!$E$4:$E$103, "Khách mời", '4. Chi tiết Sự kiện'!$B$4:$B$103, "&gt;="&amp;$V$1, '4. Chi tiết Sự kiện'!$B$4:$B$103, "&lt;="&amp;$V$2)</f>
        <v>0</v>
      </c>
      <c r="W27" s="24">
        <f>SUMIFS('4. Chi tiết Sự kiện'!$L$4:$L$103, '4. Chi tiết Sự kiện'!$C$4:$C$103, A27, '4. Chi tiết Sự kiện'!$B$4:$B$103, "&gt;="&amp;$V$1, '4. Chi tiết Sự kiện'!$B$4:$B$103, "&lt;="&amp;$V$2)</f>
        <v>0</v>
      </c>
      <c r="X27" s="24">
        <f>SUMIFS('4. Chi tiết Sự kiện'!$M$4:$M$103, '4. Chi tiết Sự kiện'!$C$4:$C$103, A27, '4. Chi tiết Sự kiện'!$B$4:$B$103, "&gt;="&amp;$V$1, '4. Chi tiết Sự kiện'!$B$4:$B$103, "&lt;="&amp;$V$2)</f>
        <v>0</v>
      </c>
      <c r="Y27" s="24">
        <f>SUMIFS('5. Nhật ký Hợp đồng'!$K$4:$K$103, '5. Nhật ký Hợp đồng'!$E$4:$E$103, A27, '5. Nhật ký Hợp đồng'!$N$4:$N$103, "Đã duyệt", '5. Nhật ký Hợp đồng'!$B$4:$B$103, "&gt;="&amp;$V$1, '5. Nhật ký Hợp đồng'!$B$4:$B$103, "&lt;="&amp;$V$2) + SUMIFS('5. Nhật ký Hợp đồng'!$L$4:$L$103, '5. Nhật ký Hợp đồng'!$G$4:$G$103, A27, '5. Nhật ký Hợp đồng'!$N$4:$N$103, "Đã duyệt", '5. Nhật ký Hợp đồng'!$B$4:$B$103, "&gt;="&amp;$V$1, '5. Nhật ký Hợp đồng'!$B$4:$B$103, "&lt;="&amp;$V$2) + SUMIFS('5. Nhật ký Hợp đồng'!$M$4:$M$103, '5. Nhật ký Hợp đồng'!$I$4:$I$103, A27, '5. Nhật ký Hợp đồng'!$N$4:$N$103, "Đã duyệt", '5. Nhật ký Hợp đồng'!$B$4:$B$103, "&gt;="&amp;$V$1, '5. Nhật ký Hợp đồng'!$B$4:$B$103, "&lt;="&amp;$V$2)</f>
        <v>0</v>
      </c>
      <c r="Z27" s="24">
        <f>SUMIFS('7. Nhật ký Đào tạo'!$L$4:$L$103, '7. Nhật ký Đào tạo'!$B$4:$B$103, A27, '7. Nhật ký Đào tạo'!$K$4:$K$103, "Đã duyệt", '7. Nhật ký Đào tạo'!$M$4:$M$103, "&gt;="&amp;$V$1, '7. Nhật ký Đào tạo'!$M$4:$M$103, "&lt;="&amp;$V$2)</f>
        <v>0</v>
      </c>
      <c r="AA27" s="30">
        <f t="shared" si="6"/>
        <v>0</v>
      </c>
    </row>
    <row r="28" ht="15.0" customHeight="1">
      <c r="A28" s="13" t="s">
        <v>307</v>
      </c>
      <c r="B28" s="16" t="s">
        <v>308</v>
      </c>
      <c r="C28" s="13" t="s">
        <v>307</v>
      </c>
      <c r="D28" s="13" t="s">
        <v>309</v>
      </c>
      <c r="E28" s="13" t="s">
        <v>310</v>
      </c>
      <c r="F28" s="16" t="s">
        <v>69</v>
      </c>
      <c r="G28" s="16" t="s">
        <v>311</v>
      </c>
      <c r="H28" s="13" t="s">
        <v>215</v>
      </c>
      <c r="I28" s="16" t="s">
        <v>216</v>
      </c>
      <c r="J28" s="16" t="s">
        <v>175</v>
      </c>
      <c r="K28" s="16" t="s">
        <v>210</v>
      </c>
      <c r="L28" s="13">
        <f t="shared" si="1"/>
        <v>22</v>
      </c>
      <c r="M28" s="13">
        <f t="shared" si="2"/>
        <v>19</v>
      </c>
      <c r="N28" s="13">
        <f t="shared" si="3"/>
        <v>1</v>
      </c>
      <c r="O28" s="13">
        <f t="shared" si="4"/>
        <v>1</v>
      </c>
      <c r="P28" s="32" t="str">
        <f t="shared" si="5"/>
        <v>Thành viên</v>
      </c>
      <c r="Q28" s="13">
        <v>0.0</v>
      </c>
      <c r="R28" s="13" t="s">
        <v>55</v>
      </c>
      <c r="S28" s="13" t="s">
        <v>55</v>
      </c>
      <c r="T28" s="13">
        <f>COUNTIFS('4. Chi tiết Sự kiện'!$C$4:$C$103, A28, '4. Chi tiết Sự kiện'!$E$4:$E$103, "Khách mời", '4. Chi tiết Sự kiện'!$H$4:$H$103, "Có", '4. Chi tiết Sự kiện'!$B$4:$B$103, "&gt;="&amp;$V$1, '4. Chi tiết Sự kiện'!$B$4:$B$103, "&lt;="&amp;$V$2)</f>
        <v>0</v>
      </c>
      <c r="U28" s="13">
        <f>COUNTIFS('4. Chi tiết Sự kiện'!$F$4:$F$103, A28, '4. Chi tiết Sự kiện'!$B$4:$B$103, "&gt;="&amp;$V$1, '4. Chi tiết Sự kiện'!$B$4:$B$103, "&lt;="&amp;$V$2)</f>
        <v>0</v>
      </c>
      <c r="V28" s="13">
        <f>COUNTIFS('4. Chi tiết Sự kiện'!$F$4:$F$103, A28, '4. Chi tiết Sự kiện'!$E$4:$E$103, "Khách mời", '4. Chi tiết Sự kiện'!$B$4:$B$103, "&gt;="&amp;$V$1, '4. Chi tiết Sự kiện'!$B$4:$B$103, "&lt;="&amp;$V$2)</f>
        <v>0</v>
      </c>
      <c r="W28" s="24">
        <f>SUMIFS('4. Chi tiết Sự kiện'!$L$4:$L$103, '4. Chi tiết Sự kiện'!$C$4:$C$103, A28, '4. Chi tiết Sự kiện'!$B$4:$B$103, "&gt;="&amp;$V$1, '4. Chi tiết Sự kiện'!$B$4:$B$103, "&lt;="&amp;$V$2)</f>
        <v>0</v>
      </c>
      <c r="X28" s="24">
        <f>SUMIFS('4. Chi tiết Sự kiện'!$M$4:$M$103, '4. Chi tiết Sự kiện'!$C$4:$C$103, A28, '4. Chi tiết Sự kiện'!$B$4:$B$103, "&gt;="&amp;$V$1, '4. Chi tiết Sự kiện'!$B$4:$B$103, "&lt;="&amp;$V$2)</f>
        <v>0</v>
      </c>
      <c r="Y28" s="24">
        <f>SUMIFS('5. Nhật ký Hợp đồng'!$K$4:$K$103, '5. Nhật ký Hợp đồng'!$E$4:$E$103, A28, '5. Nhật ký Hợp đồng'!$N$4:$N$103, "Đã duyệt", '5. Nhật ký Hợp đồng'!$B$4:$B$103, "&gt;="&amp;$V$1, '5. Nhật ký Hợp đồng'!$B$4:$B$103, "&lt;="&amp;$V$2) + SUMIFS('5. Nhật ký Hợp đồng'!$L$4:$L$103, '5. Nhật ký Hợp đồng'!$G$4:$G$103, A28, '5. Nhật ký Hợp đồng'!$N$4:$N$103, "Đã duyệt", '5. Nhật ký Hợp đồng'!$B$4:$B$103, "&gt;="&amp;$V$1, '5. Nhật ký Hợp đồng'!$B$4:$B$103, "&lt;="&amp;$V$2) + SUMIFS('5. Nhật ký Hợp đồng'!$M$4:$M$103, '5. Nhật ký Hợp đồng'!$I$4:$I$103, A28, '5. Nhật ký Hợp đồng'!$N$4:$N$103, "Đã duyệt", '5. Nhật ký Hợp đồng'!$B$4:$B$103, "&gt;="&amp;$V$1, '5. Nhật ký Hợp đồng'!$B$4:$B$103, "&lt;="&amp;$V$2)</f>
        <v>0</v>
      </c>
      <c r="Z28" s="24">
        <f>SUMIFS('7. Nhật ký Đào tạo'!$L$4:$L$103, '7. Nhật ký Đào tạo'!$B$4:$B$103, A28, '7. Nhật ký Đào tạo'!$K$4:$K$103, "Đã duyệt", '7. Nhật ký Đào tạo'!$M$4:$M$103, "&gt;="&amp;$V$1, '7. Nhật ký Đào tạo'!$M$4:$M$103, "&lt;="&amp;$V$2)</f>
        <v>0</v>
      </c>
      <c r="AA28" s="30">
        <f t="shared" si="6"/>
        <v>0</v>
      </c>
    </row>
    <row r="29" ht="15.0" customHeight="1">
      <c r="A29" s="13" t="s">
        <v>312</v>
      </c>
      <c r="B29" s="16" t="s">
        <v>313</v>
      </c>
      <c r="C29" s="13" t="s">
        <v>312</v>
      </c>
      <c r="D29" s="13" t="s">
        <v>314</v>
      </c>
      <c r="E29" s="13" t="s">
        <v>315</v>
      </c>
      <c r="F29" s="16" t="s">
        <v>69</v>
      </c>
      <c r="G29" s="16" t="s">
        <v>316</v>
      </c>
      <c r="H29" s="13" t="s">
        <v>215</v>
      </c>
      <c r="I29" s="16" t="s">
        <v>216</v>
      </c>
      <c r="J29" s="16" t="s">
        <v>175</v>
      </c>
      <c r="K29" s="16" t="s">
        <v>210</v>
      </c>
      <c r="L29" s="13">
        <f t="shared" si="1"/>
        <v>22</v>
      </c>
      <c r="M29" s="13">
        <f t="shared" si="2"/>
        <v>19</v>
      </c>
      <c r="N29" s="13">
        <f t="shared" si="3"/>
        <v>1</v>
      </c>
      <c r="O29" s="13">
        <f t="shared" si="4"/>
        <v>1</v>
      </c>
      <c r="P29" s="32" t="str">
        <f t="shared" si="5"/>
        <v>Thành viên</v>
      </c>
      <c r="Q29" s="13">
        <v>0.0</v>
      </c>
      <c r="R29" s="13" t="s">
        <v>55</v>
      </c>
      <c r="S29" s="13" t="s">
        <v>55</v>
      </c>
      <c r="T29" s="13">
        <f>COUNTIFS('4. Chi tiết Sự kiện'!$C$4:$C$103, A29, '4. Chi tiết Sự kiện'!$E$4:$E$103, "Khách mời", '4. Chi tiết Sự kiện'!$H$4:$H$103, "Có", '4. Chi tiết Sự kiện'!$B$4:$B$103, "&gt;="&amp;$V$1, '4. Chi tiết Sự kiện'!$B$4:$B$103, "&lt;="&amp;$V$2)</f>
        <v>0</v>
      </c>
      <c r="U29" s="13">
        <f>COUNTIFS('4. Chi tiết Sự kiện'!$F$4:$F$103, A29, '4. Chi tiết Sự kiện'!$B$4:$B$103, "&gt;="&amp;$V$1, '4. Chi tiết Sự kiện'!$B$4:$B$103, "&lt;="&amp;$V$2)</f>
        <v>0</v>
      </c>
      <c r="V29" s="13">
        <f>COUNTIFS('4. Chi tiết Sự kiện'!$F$4:$F$103, A29, '4. Chi tiết Sự kiện'!$E$4:$E$103, "Khách mời", '4. Chi tiết Sự kiện'!$B$4:$B$103, "&gt;="&amp;$V$1, '4. Chi tiết Sự kiện'!$B$4:$B$103, "&lt;="&amp;$V$2)</f>
        <v>0</v>
      </c>
      <c r="W29" s="24">
        <f>SUMIFS('4. Chi tiết Sự kiện'!$L$4:$L$103, '4. Chi tiết Sự kiện'!$C$4:$C$103, A29, '4. Chi tiết Sự kiện'!$B$4:$B$103, "&gt;="&amp;$V$1, '4. Chi tiết Sự kiện'!$B$4:$B$103, "&lt;="&amp;$V$2)</f>
        <v>0</v>
      </c>
      <c r="X29" s="24">
        <f>SUMIFS('4. Chi tiết Sự kiện'!$M$4:$M$103, '4. Chi tiết Sự kiện'!$C$4:$C$103, A29, '4. Chi tiết Sự kiện'!$B$4:$B$103, "&gt;="&amp;$V$1, '4. Chi tiết Sự kiện'!$B$4:$B$103, "&lt;="&amp;$V$2)</f>
        <v>0</v>
      </c>
      <c r="Y29" s="24">
        <f>SUMIFS('5. Nhật ký Hợp đồng'!$K$4:$K$103, '5. Nhật ký Hợp đồng'!$E$4:$E$103, A29, '5. Nhật ký Hợp đồng'!$N$4:$N$103, "Đã duyệt", '5. Nhật ký Hợp đồng'!$B$4:$B$103, "&gt;="&amp;$V$1, '5. Nhật ký Hợp đồng'!$B$4:$B$103, "&lt;="&amp;$V$2) + SUMIFS('5. Nhật ký Hợp đồng'!$L$4:$L$103, '5. Nhật ký Hợp đồng'!$G$4:$G$103, A29, '5. Nhật ký Hợp đồng'!$N$4:$N$103, "Đã duyệt", '5. Nhật ký Hợp đồng'!$B$4:$B$103, "&gt;="&amp;$V$1, '5. Nhật ký Hợp đồng'!$B$4:$B$103, "&lt;="&amp;$V$2) + SUMIFS('5. Nhật ký Hợp đồng'!$M$4:$M$103, '5. Nhật ký Hợp đồng'!$I$4:$I$103, A29, '5. Nhật ký Hợp đồng'!$N$4:$N$103, "Đã duyệt", '5. Nhật ký Hợp đồng'!$B$4:$B$103, "&gt;="&amp;$V$1, '5. Nhật ký Hợp đồng'!$B$4:$B$103, "&lt;="&amp;$V$2)</f>
        <v>0</v>
      </c>
      <c r="Z29" s="24">
        <f>SUMIFS('7. Nhật ký Đào tạo'!$L$4:$L$103, '7. Nhật ký Đào tạo'!$B$4:$B$103, A29, '7. Nhật ký Đào tạo'!$K$4:$K$103, "Đã duyệt", '7. Nhật ký Đào tạo'!$M$4:$M$103, "&gt;="&amp;$V$1, '7. Nhật ký Đào tạo'!$M$4:$M$103, "&lt;="&amp;$V$2)</f>
        <v>0</v>
      </c>
      <c r="AA29" s="30">
        <f t="shared" si="6"/>
        <v>0</v>
      </c>
    </row>
    <row r="30" ht="15.0" customHeight="1">
      <c r="A30" s="13" t="s">
        <v>317</v>
      </c>
      <c r="B30" s="16" t="s">
        <v>318</v>
      </c>
      <c r="C30" s="13" t="s">
        <v>317</v>
      </c>
      <c r="D30" s="13" t="s">
        <v>319</v>
      </c>
      <c r="E30" s="13" t="s">
        <v>320</v>
      </c>
      <c r="F30" s="16" t="s">
        <v>69</v>
      </c>
      <c r="G30" s="16" t="s">
        <v>321</v>
      </c>
      <c r="H30" s="13" t="s">
        <v>215</v>
      </c>
      <c r="I30" s="16" t="s">
        <v>216</v>
      </c>
      <c r="J30" s="16" t="s">
        <v>175</v>
      </c>
      <c r="K30" s="16" t="s">
        <v>210</v>
      </c>
      <c r="L30" s="13">
        <f t="shared" si="1"/>
        <v>22</v>
      </c>
      <c r="M30" s="13">
        <f t="shared" si="2"/>
        <v>19</v>
      </c>
      <c r="N30" s="13">
        <f t="shared" si="3"/>
        <v>1</v>
      </c>
      <c r="O30" s="13">
        <f t="shared" si="4"/>
        <v>1</v>
      </c>
      <c r="P30" s="32" t="str">
        <f t="shared" si="5"/>
        <v>Thành viên</v>
      </c>
      <c r="Q30" s="13">
        <v>0.0</v>
      </c>
      <c r="R30" s="13" t="s">
        <v>55</v>
      </c>
      <c r="S30" s="13" t="s">
        <v>55</v>
      </c>
      <c r="T30" s="13">
        <f>COUNTIFS('4. Chi tiết Sự kiện'!$C$4:$C$103, A30, '4. Chi tiết Sự kiện'!$E$4:$E$103, "Khách mời", '4. Chi tiết Sự kiện'!$H$4:$H$103, "Có", '4. Chi tiết Sự kiện'!$B$4:$B$103, "&gt;="&amp;$V$1, '4. Chi tiết Sự kiện'!$B$4:$B$103, "&lt;="&amp;$V$2)</f>
        <v>0</v>
      </c>
      <c r="U30" s="13">
        <f>COUNTIFS('4. Chi tiết Sự kiện'!$F$4:$F$103, A30, '4. Chi tiết Sự kiện'!$B$4:$B$103, "&gt;="&amp;$V$1, '4. Chi tiết Sự kiện'!$B$4:$B$103, "&lt;="&amp;$V$2)</f>
        <v>0</v>
      </c>
      <c r="V30" s="13">
        <f>COUNTIFS('4. Chi tiết Sự kiện'!$F$4:$F$103, A30, '4. Chi tiết Sự kiện'!$E$4:$E$103, "Khách mời", '4. Chi tiết Sự kiện'!$B$4:$B$103, "&gt;="&amp;$V$1, '4. Chi tiết Sự kiện'!$B$4:$B$103, "&lt;="&amp;$V$2)</f>
        <v>0</v>
      </c>
      <c r="W30" s="24">
        <f>SUMIFS('4. Chi tiết Sự kiện'!$L$4:$L$103, '4. Chi tiết Sự kiện'!$C$4:$C$103, A30, '4. Chi tiết Sự kiện'!$B$4:$B$103, "&gt;="&amp;$V$1, '4. Chi tiết Sự kiện'!$B$4:$B$103, "&lt;="&amp;$V$2)</f>
        <v>0</v>
      </c>
      <c r="X30" s="24">
        <f>SUMIFS('4. Chi tiết Sự kiện'!$M$4:$M$103, '4. Chi tiết Sự kiện'!$C$4:$C$103, A30, '4. Chi tiết Sự kiện'!$B$4:$B$103, "&gt;="&amp;$V$1, '4. Chi tiết Sự kiện'!$B$4:$B$103, "&lt;="&amp;$V$2)</f>
        <v>0</v>
      </c>
      <c r="Y30" s="24">
        <f>SUMIFS('5. Nhật ký Hợp đồng'!$K$4:$K$103, '5. Nhật ký Hợp đồng'!$E$4:$E$103, A30, '5. Nhật ký Hợp đồng'!$N$4:$N$103, "Đã duyệt", '5. Nhật ký Hợp đồng'!$B$4:$B$103, "&gt;="&amp;$V$1, '5. Nhật ký Hợp đồng'!$B$4:$B$103, "&lt;="&amp;$V$2) + SUMIFS('5. Nhật ký Hợp đồng'!$L$4:$L$103, '5. Nhật ký Hợp đồng'!$G$4:$G$103, A30, '5. Nhật ký Hợp đồng'!$N$4:$N$103, "Đã duyệt", '5. Nhật ký Hợp đồng'!$B$4:$B$103, "&gt;="&amp;$V$1, '5. Nhật ký Hợp đồng'!$B$4:$B$103, "&lt;="&amp;$V$2) + SUMIFS('5. Nhật ký Hợp đồng'!$M$4:$M$103, '5. Nhật ký Hợp đồng'!$I$4:$I$103, A30, '5. Nhật ký Hợp đồng'!$N$4:$N$103, "Đã duyệt", '5. Nhật ký Hợp đồng'!$B$4:$B$103, "&gt;="&amp;$V$1, '5. Nhật ký Hợp đồng'!$B$4:$B$103, "&lt;="&amp;$V$2)</f>
        <v>0</v>
      </c>
      <c r="Z30" s="24">
        <f>SUMIFS('7. Nhật ký Đào tạo'!$L$4:$L$103, '7. Nhật ký Đào tạo'!$B$4:$B$103, A30, '7. Nhật ký Đào tạo'!$K$4:$K$103, "Đã duyệt", '7. Nhật ký Đào tạo'!$M$4:$M$103, "&gt;="&amp;$V$1, '7. Nhật ký Đào tạo'!$M$4:$M$103, "&lt;="&amp;$V$2)</f>
        <v>0</v>
      </c>
      <c r="AA30" s="30">
        <f t="shared" si="6"/>
        <v>0</v>
      </c>
    </row>
    <row r="31" ht="15.0" customHeight="1">
      <c r="A31" s="13" t="s">
        <v>322</v>
      </c>
      <c r="B31" s="16" t="s">
        <v>323</v>
      </c>
      <c r="C31" s="13" t="s">
        <v>322</v>
      </c>
      <c r="D31" s="13" t="s">
        <v>324</v>
      </c>
      <c r="E31" s="13" t="s">
        <v>325</v>
      </c>
      <c r="F31" s="16" t="s">
        <v>69</v>
      </c>
      <c r="G31" s="16" t="s">
        <v>326</v>
      </c>
      <c r="H31" s="13" t="s">
        <v>215</v>
      </c>
      <c r="I31" s="16" t="s">
        <v>216</v>
      </c>
      <c r="J31" s="16" t="s">
        <v>175</v>
      </c>
      <c r="K31" s="16" t="s">
        <v>210</v>
      </c>
      <c r="L31" s="13">
        <f t="shared" si="1"/>
        <v>22</v>
      </c>
      <c r="M31" s="13">
        <f t="shared" si="2"/>
        <v>19</v>
      </c>
      <c r="N31" s="13">
        <f t="shared" si="3"/>
        <v>1</v>
      </c>
      <c r="O31" s="13">
        <f t="shared" si="4"/>
        <v>1</v>
      </c>
      <c r="P31" s="32" t="str">
        <f t="shared" si="5"/>
        <v>Thành viên</v>
      </c>
      <c r="Q31" s="13">
        <v>0.0</v>
      </c>
      <c r="R31" s="13" t="s">
        <v>55</v>
      </c>
      <c r="S31" s="13" t="s">
        <v>55</v>
      </c>
      <c r="T31" s="13">
        <f>COUNTIFS('4. Chi tiết Sự kiện'!$C$4:$C$103, A31, '4. Chi tiết Sự kiện'!$E$4:$E$103, "Khách mời", '4. Chi tiết Sự kiện'!$H$4:$H$103, "Có", '4. Chi tiết Sự kiện'!$B$4:$B$103, "&gt;="&amp;$V$1, '4. Chi tiết Sự kiện'!$B$4:$B$103, "&lt;="&amp;$V$2)</f>
        <v>0</v>
      </c>
      <c r="U31" s="13">
        <f>COUNTIFS('4. Chi tiết Sự kiện'!$F$4:$F$103, A31, '4. Chi tiết Sự kiện'!$B$4:$B$103, "&gt;="&amp;$V$1, '4. Chi tiết Sự kiện'!$B$4:$B$103, "&lt;="&amp;$V$2)</f>
        <v>0</v>
      </c>
      <c r="V31" s="13">
        <f>COUNTIFS('4. Chi tiết Sự kiện'!$F$4:$F$103, A31, '4. Chi tiết Sự kiện'!$E$4:$E$103, "Khách mời", '4. Chi tiết Sự kiện'!$B$4:$B$103, "&gt;="&amp;$V$1, '4. Chi tiết Sự kiện'!$B$4:$B$103, "&lt;="&amp;$V$2)</f>
        <v>0</v>
      </c>
      <c r="W31" s="24">
        <f>SUMIFS('4. Chi tiết Sự kiện'!$L$4:$L$103, '4. Chi tiết Sự kiện'!$C$4:$C$103, A31, '4. Chi tiết Sự kiện'!$B$4:$B$103, "&gt;="&amp;$V$1, '4. Chi tiết Sự kiện'!$B$4:$B$103, "&lt;="&amp;$V$2)</f>
        <v>0</v>
      </c>
      <c r="X31" s="24">
        <f>SUMIFS('4. Chi tiết Sự kiện'!$M$4:$M$103, '4. Chi tiết Sự kiện'!$C$4:$C$103, A31, '4. Chi tiết Sự kiện'!$B$4:$B$103, "&gt;="&amp;$V$1, '4. Chi tiết Sự kiện'!$B$4:$B$103, "&lt;="&amp;$V$2)</f>
        <v>0</v>
      </c>
      <c r="Y31" s="24">
        <f>SUMIFS('5. Nhật ký Hợp đồng'!$K$4:$K$103, '5. Nhật ký Hợp đồng'!$E$4:$E$103, A31, '5. Nhật ký Hợp đồng'!$N$4:$N$103, "Đã duyệt", '5. Nhật ký Hợp đồng'!$B$4:$B$103, "&gt;="&amp;$V$1, '5. Nhật ký Hợp đồng'!$B$4:$B$103, "&lt;="&amp;$V$2) + SUMIFS('5. Nhật ký Hợp đồng'!$L$4:$L$103, '5. Nhật ký Hợp đồng'!$G$4:$G$103, A31, '5. Nhật ký Hợp đồng'!$N$4:$N$103, "Đã duyệt", '5. Nhật ký Hợp đồng'!$B$4:$B$103, "&gt;="&amp;$V$1, '5. Nhật ký Hợp đồng'!$B$4:$B$103, "&lt;="&amp;$V$2) + SUMIFS('5. Nhật ký Hợp đồng'!$M$4:$M$103, '5. Nhật ký Hợp đồng'!$I$4:$I$103, A31, '5. Nhật ký Hợp đồng'!$N$4:$N$103, "Đã duyệt", '5. Nhật ký Hợp đồng'!$B$4:$B$103, "&gt;="&amp;$V$1, '5. Nhật ký Hợp đồng'!$B$4:$B$103, "&lt;="&amp;$V$2)</f>
        <v>0</v>
      </c>
      <c r="Z31" s="24">
        <f>SUMIFS('7. Nhật ký Đào tạo'!$L$4:$L$103, '7. Nhật ký Đào tạo'!$B$4:$B$103, A31, '7. Nhật ký Đào tạo'!$K$4:$K$103, "Đã duyệt", '7. Nhật ký Đào tạo'!$M$4:$M$103, "&gt;="&amp;$V$1, '7. Nhật ký Đào tạo'!$M$4:$M$103, "&lt;="&amp;$V$2)</f>
        <v>0</v>
      </c>
      <c r="AA31" s="30">
        <f t="shared" si="6"/>
        <v>0</v>
      </c>
    </row>
    <row r="32" ht="15.0" customHeight="1">
      <c r="A32" s="13" t="s">
        <v>327</v>
      </c>
      <c r="B32" s="16" t="s">
        <v>328</v>
      </c>
      <c r="C32" s="13" t="s">
        <v>327</v>
      </c>
      <c r="D32" s="13" t="s">
        <v>329</v>
      </c>
      <c r="E32" s="13" t="s">
        <v>330</v>
      </c>
      <c r="F32" s="16" t="s">
        <v>69</v>
      </c>
      <c r="G32" s="16" t="s">
        <v>331</v>
      </c>
      <c r="H32" s="13" t="s">
        <v>215</v>
      </c>
      <c r="I32" s="16" t="s">
        <v>216</v>
      </c>
      <c r="J32" s="16" t="s">
        <v>175</v>
      </c>
      <c r="K32" s="16" t="s">
        <v>210</v>
      </c>
      <c r="L32" s="13">
        <f t="shared" si="1"/>
        <v>22</v>
      </c>
      <c r="M32" s="13">
        <f t="shared" si="2"/>
        <v>19</v>
      </c>
      <c r="N32" s="13">
        <f t="shared" si="3"/>
        <v>1</v>
      </c>
      <c r="O32" s="13">
        <f t="shared" si="4"/>
        <v>1</v>
      </c>
      <c r="P32" s="32" t="str">
        <f t="shared" si="5"/>
        <v>Thành viên</v>
      </c>
      <c r="Q32" s="13">
        <v>0.0</v>
      </c>
      <c r="R32" s="13" t="s">
        <v>55</v>
      </c>
      <c r="S32" s="13" t="s">
        <v>55</v>
      </c>
      <c r="T32" s="13">
        <f>COUNTIFS('4. Chi tiết Sự kiện'!$C$4:$C$103, A32, '4. Chi tiết Sự kiện'!$E$4:$E$103, "Khách mời", '4. Chi tiết Sự kiện'!$H$4:$H$103, "Có", '4. Chi tiết Sự kiện'!$B$4:$B$103, "&gt;="&amp;$V$1, '4. Chi tiết Sự kiện'!$B$4:$B$103, "&lt;="&amp;$V$2)</f>
        <v>0</v>
      </c>
      <c r="U32" s="13">
        <f>COUNTIFS('4. Chi tiết Sự kiện'!$F$4:$F$103, A32, '4. Chi tiết Sự kiện'!$B$4:$B$103, "&gt;="&amp;$V$1, '4. Chi tiết Sự kiện'!$B$4:$B$103, "&lt;="&amp;$V$2)</f>
        <v>0</v>
      </c>
      <c r="V32" s="13">
        <f>COUNTIFS('4. Chi tiết Sự kiện'!$F$4:$F$103, A32, '4. Chi tiết Sự kiện'!$E$4:$E$103, "Khách mời", '4. Chi tiết Sự kiện'!$B$4:$B$103, "&gt;="&amp;$V$1, '4. Chi tiết Sự kiện'!$B$4:$B$103, "&lt;="&amp;$V$2)</f>
        <v>0</v>
      </c>
      <c r="W32" s="24">
        <f>SUMIFS('4. Chi tiết Sự kiện'!$L$4:$L$103, '4. Chi tiết Sự kiện'!$C$4:$C$103, A32, '4. Chi tiết Sự kiện'!$B$4:$B$103, "&gt;="&amp;$V$1, '4. Chi tiết Sự kiện'!$B$4:$B$103, "&lt;="&amp;$V$2)</f>
        <v>0</v>
      </c>
      <c r="X32" s="24">
        <f>SUMIFS('4. Chi tiết Sự kiện'!$M$4:$M$103, '4. Chi tiết Sự kiện'!$C$4:$C$103, A32, '4. Chi tiết Sự kiện'!$B$4:$B$103, "&gt;="&amp;$V$1, '4. Chi tiết Sự kiện'!$B$4:$B$103, "&lt;="&amp;$V$2)</f>
        <v>0</v>
      </c>
      <c r="Y32" s="24">
        <f>SUMIFS('5. Nhật ký Hợp đồng'!$K$4:$K$103, '5. Nhật ký Hợp đồng'!$E$4:$E$103, A32, '5. Nhật ký Hợp đồng'!$N$4:$N$103, "Đã duyệt", '5. Nhật ký Hợp đồng'!$B$4:$B$103, "&gt;="&amp;$V$1, '5. Nhật ký Hợp đồng'!$B$4:$B$103, "&lt;="&amp;$V$2) + SUMIFS('5. Nhật ký Hợp đồng'!$L$4:$L$103, '5. Nhật ký Hợp đồng'!$G$4:$G$103, A32, '5. Nhật ký Hợp đồng'!$N$4:$N$103, "Đã duyệt", '5. Nhật ký Hợp đồng'!$B$4:$B$103, "&gt;="&amp;$V$1, '5. Nhật ký Hợp đồng'!$B$4:$B$103, "&lt;="&amp;$V$2) + SUMIFS('5. Nhật ký Hợp đồng'!$M$4:$M$103, '5. Nhật ký Hợp đồng'!$I$4:$I$103, A32, '5. Nhật ký Hợp đồng'!$N$4:$N$103, "Đã duyệt", '5. Nhật ký Hợp đồng'!$B$4:$B$103, "&gt;="&amp;$V$1, '5. Nhật ký Hợp đồng'!$B$4:$B$103, "&lt;="&amp;$V$2)</f>
        <v>0</v>
      </c>
      <c r="Z32" s="24">
        <f>SUMIFS('7. Nhật ký Đào tạo'!$L$4:$L$103, '7. Nhật ký Đào tạo'!$B$4:$B$103, A32, '7. Nhật ký Đào tạo'!$K$4:$K$103, "Đã duyệt", '7. Nhật ký Đào tạo'!$M$4:$M$103, "&gt;="&amp;$V$1, '7. Nhật ký Đào tạo'!$M$4:$M$103, "&lt;="&amp;$V$2)</f>
        <v>0</v>
      </c>
      <c r="AA32" s="30">
        <f t="shared" si="6"/>
        <v>0</v>
      </c>
    </row>
    <row r="33" ht="15.0" customHeight="1">
      <c r="A33" s="13" t="s">
        <v>352</v>
      </c>
      <c r="B33" s="16" t="s">
        <v>353</v>
      </c>
      <c r="C33" s="13" t="s">
        <v>352</v>
      </c>
      <c r="D33" s="13" t="s">
        <v>354</v>
      </c>
      <c r="E33" s="13" t="s">
        <v>355</v>
      </c>
      <c r="F33" s="16" t="s">
        <v>69</v>
      </c>
      <c r="G33" s="16" t="s">
        <v>356</v>
      </c>
      <c r="H33" s="13" t="s">
        <v>215</v>
      </c>
      <c r="I33" s="16" t="s">
        <v>216</v>
      </c>
      <c r="J33" s="16" t="s">
        <v>175</v>
      </c>
      <c r="K33" s="16" t="s">
        <v>210</v>
      </c>
      <c r="L33" s="13">
        <f t="shared" si="1"/>
        <v>22</v>
      </c>
      <c r="M33" s="13">
        <f t="shared" si="2"/>
        <v>19</v>
      </c>
      <c r="N33" s="13">
        <f t="shared" si="3"/>
        <v>1</v>
      </c>
      <c r="O33" s="13">
        <f t="shared" si="4"/>
        <v>1</v>
      </c>
      <c r="P33" s="32" t="str">
        <f t="shared" si="5"/>
        <v>Thành viên</v>
      </c>
      <c r="Q33" s="13">
        <v>0.0</v>
      </c>
      <c r="R33" s="13" t="s">
        <v>55</v>
      </c>
      <c r="S33" s="13" t="s">
        <v>55</v>
      </c>
      <c r="T33" s="13">
        <f>COUNTIFS('4. Chi tiết Sự kiện'!$C$4:$C$103, A33, '4. Chi tiết Sự kiện'!$E$4:$E$103, "Khách mời", '4. Chi tiết Sự kiện'!$H$4:$H$103, "Có", '4. Chi tiết Sự kiện'!$B$4:$B$103, "&gt;="&amp;$V$1, '4. Chi tiết Sự kiện'!$B$4:$B$103, "&lt;="&amp;$V$2)</f>
        <v>0</v>
      </c>
      <c r="U33" s="13">
        <f>COUNTIFS('4. Chi tiết Sự kiện'!$F$4:$F$103, A33, '4. Chi tiết Sự kiện'!$B$4:$B$103, "&gt;="&amp;$V$1, '4. Chi tiết Sự kiện'!$B$4:$B$103, "&lt;="&amp;$V$2)</f>
        <v>0</v>
      </c>
      <c r="V33" s="13">
        <f>COUNTIFS('4. Chi tiết Sự kiện'!$F$4:$F$103, A33, '4. Chi tiết Sự kiện'!$E$4:$E$103, "Khách mời", '4. Chi tiết Sự kiện'!$B$4:$B$103, "&gt;="&amp;$V$1, '4. Chi tiết Sự kiện'!$B$4:$B$103, "&lt;="&amp;$V$2)</f>
        <v>0</v>
      </c>
      <c r="W33" s="24">
        <f>SUMIFS('4. Chi tiết Sự kiện'!$L$4:$L$103, '4. Chi tiết Sự kiện'!$C$4:$C$103, A33, '4. Chi tiết Sự kiện'!$B$4:$B$103, "&gt;="&amp;$V$1, '4. Chi tiết Sự kiện'!$B$4:$B$103, "&lt;="&amp;$V$2)</f>
        <v>0</v>
      </c>
      <c r="X33" s="24">
        <f>SUMIFS('4. Chi tiết Sự kiện'!$M$4:$M$103, '4. Chi tiết Sự kiện'!$C$4:$C$103, A33, '4. Chi tiết Sự kiện'!$B$4:$B$103, "&gt;="&amp;$V$1, '4. Chi tiết Sự kiện'!$B$4:$B$103, "&lt;="&amp;$V$2)</f>
        <v>0</v>
      </c>
      <c r="Y33" s="24">
        <f>SUMIFS('5. Nhật ký Hợp đồng'!$K$4:$K$103, '5. Nhật ký Hợp đồng'!$E$4:$E$103, A33, '5. Nhật ký Hợp đồng'!$N$4:$N$103, "Đã duyệt", '5. Nhật ký Hợp đồng'!$B$4:$B$103, "&gt;="&amp;$V$1, '5. Nhật ký Hợp đồng'!$B$4:$B$103, "&lt;="&amp;$V$2) + SUMIFS('5. Nhật ký Hợp đồng'!$L$4:$L$103, '5. Nhật ký Hợp đồng'!$G$4:$G$103, A33, '5. Nhật ký Hợp đồng'!$N$4:$N$103, "Đã duyệt", '5. Nhật ký Hợp đồng'!$B$4:$B$103, "&gt;="&amp;$V$1, '5. Nhật ký Hợp đồng'!$B$4:$B$103, "&lt;="&amp;$V$2) + SUMIFS('5. Nhật ký Hợp đồng'!$M$4:$M$103, '5. Nhật ký Hợp đồng'!$I$4:$I$103, A33, '5. Nhật ký Hợp đồng'!$N$4:$N$103, "Đã duyệt", '5. Nhật ký Hợp đồng'!$B$4:$B$103, "&gt;="&amp;$V$1, '5. Nhật ký Hợp đồng'!$B$4:$B$103, "&lt;="&amp;$V$2)</f>
        <v>0</v>
      </c>
      <c r="Z33" s="24">
        <f>SUMIFS('7. Nhật ký Đào tạo'!$L$4:$L$103, '7. Nhật ký Đào tạo'!$B$4:$B$103, A33, '7. Nhật ký Đào tạo'!$K$4:$K$103, "Đã duyệt", '7. Nhật ký Đào tạo'!$M$4:$M$103, "&gt;="&amp;$V$1, '7. Nhật ký Đào tạo'!$M$4:$M$103, "&lt;="&amp;$V$2)</f>
        <v>0</v>
      </c>
      <c r="AA33" s="30">
        <f t="shared" si="6"/>
        <v>0</v>
      </c>
    </row>
    <row r="34" ht="15.0" customHeight="1">
      <c r="A34" s="13" t="s">
        <v>368</v>
      </c>
      <c r="B34" s="16" t="s">
        <v>369</v>
      </c>
      <c r="C34" s="13" t="s">
        <v>368</v>
      </c>
      <c r="D34" s="13" t="s">
        <v>370</v>
      </c>
      <c r="E34" s="13" t="s">
        <v>371</v>
      </c>
      <c r="F34" s="16" t="s">
        <v>69</v>
      </c>
      <c r="G34" s="16" t="s">
        <v>372</v>
      </c>
      <c r="H34" s="13" t="s">
        <v>215</v>
      </c>
      <c r="I34" s="16" t="s">
        <v>216</v>
      </c>
      <c r="J34" s="16" t="s">
        <v>175</v>
      </c>
      <c r="K34" s="16" t="s">
        <v>210</v>
      </c>
      <c r="L34" s="13">
        <f t="shared" si="1"/>
        <v>22</v>
      </c>
      <c r="M34" s="13">
        <f t="shared" si="2"/>
        <v>19</v>
      </c>
      <c r="N34" s="13">
        <f t="shared" si="3"/>
        <v>1</v>
      </c>
      <c r="O34" s="13">
        <f t="shared" si="4"/>
        <v>1</v>
      </c>
      <c r="P34" s="32" t="str">
        <f t="shared" si="5"/>
        <v>Thành viên</v>
      </c>
      <c r="Q34" s="13">
        <v>0.0</v>
      </c>
      <c r="R34" s="13" t="s">
        <v>55</v>
      </c>
      <c r="S34" s="13" t="s">
        <v>55</v>
      </c>
      <c r="T34" s="13">
        <f>COUNTIFS('4. Chi tiết Sự kiện'!$C$4:$C$103, A34, '4. Chi tiết Sự kiện'!$E$4:$E$103, "Khách mời", '4. Chi tiết Sự kiện'!$H$4:$H$103, "Có", '4. Chi tiết Sự kiện'!$B$4:$B$103, "&gt;="&amp;$V$1, '4. Chi tiết Sự kiện'!$B$4:$B$103, "&lt;="&amp;$V$2)</f>
        <v>0</v>
      </c>
      <c r="U34" s="13">
        <f>COUNTIFS('4. Chi tiết Sự kiện'!$F$4:$F$103, A34, '4. Chi tiết Sự kiện'!$B$4:$B$103, "&gt;="&amp;$V$1, '4. Chi tiết Sự kiện'!$B$4:$B$103, "&lt;="&amp;$V$2)</f>
        <v>0</v>
      </c>
      <c r="V34" s="13">
        <f>COUNTIFS('4. Chi tiết Sự kiện'!$F$4:$F$103, A34, '4. Chi tiết Sự kiện'!$E$4:$E$103, "Khách mời", '4. Chi tiết Sự kiện'!$B$4:$B$103, "&gt;="&amp;$V$1, '4. Chi tiết Sự kiện'!$B$4:$B$103, "&lt;="&amp;$V$2)</f>
        <v>0</v>
      </c>
      <c r="W34" s="24">
        <f>SUMIFS('4. Chi tiết Sự kiện'!$L$4:$L$103, '4. Chi tiết Sự kiện'!$C$4:$C$103, A34, '4. Chi tiết Sự kiện'!$B$4:$B$103, "&gt;="&amp;$V$1, '4. Chi tiết Sự kiện'!$B$4:$B$103, "&lt;="&amp;$V$2)</f>
        <v>0</v>
      </c>
      <c r="X34" s="24">
        <f>SUMIFS('4. Chi tiết Sự kiện'!$M$4:$M$103, '4. Chi tiết Sự kiện'!$C$4:$C$103, A34, '4. Chi tiết Sự kiện'!$B$4:$B$103, "&gt;="&amp;$V$1, '4. Chi tiết Sự kiện'!$B$4:$B$103, "&lt;="&amp;$V$2)</f>
        <v>0</v>
      </c>
      <c r="Y34" s="24">
        <f>SUMIFS('5. Nhật ký Hợp đồng'!$K$4:$K$103, '5. Nhật ký Hợp đồng'!$E$4:$E$103, A34, '5. Nhật ký Hợp đồng'!$N$4:$N$103, "Đã duyệt", '5. Nhật ký Hợp đồng'!$B$4:$B$103, "&gt;="&amp;$V$1, '5. Nhật ký Hợp đồng'!$B$4:$B$103, "&lt;="&amp;$V$2) + SUMIFS('5. Nhật ký Hợp đồng'!$L$4:$L$103, '5. Nhật ký Hợp đồng'!$G$4:$G$103, A34, '5. Nhật ký Hợp đồng'!$N$4:$N$103, "Đã duyệt", '5. Nhật ký Hợp đồng'!$B$4:$B$103, "&gt;="&amp;$V$1, '5. Nhật ký Hợp đồng'!$B$4:$B$103, "&lt;="&amp;$V$2) + SUMIFS('5. Nhật ký Hợp đồng'!$M$4:$M$103, '5. Nhật ký Hợp đồng'!$I$4:$I$103, A34, '5. Nhật ký Hợp đồng'!$N$4:$N$103, "Đã duyệt", '5. Nhật ký Hợp đồng'!$B$4:$B$103, "&gt;="&amp;$V$1, '5. Nhật ký Hợp đồng'!$B$4:$B$103, "&lt;="&amp;$V$2)</f>
        <v>0</v>
      </c>
      <c r="Z34" s="24">
        <f>SUMIFS('7. Nhật ký Đào tạo'!$L$4:$L$103, '7. Nhật ký Đào tạo'!$B$4:$B$103, A34, '7. Nhật ký Đào tạo'!$K$4:$K$103, "Đã duyệt", '7. Nhật ký Đào tạo'!$M$4:$M$103, "&gt;="&amp;$V$1, '7. Nhật ký Đào tạo'!$M$4:$M$103, "&lt;="&amp;$V$2)</f>
        <v>0</v>
      </c>
      <c r="AA34" s="30">
        <f t="shared" si="6"/>
        <v>0</v>
      </c>
    </row>
    <row r="35" ht="15.0" customHeight="1">
      <c r="A35" s="13" t="s">
        <v>385</v>
      </c>
      <c r="B35" s="16" t="s">
        <v>386</v>
      </c>
      <c r="C35" s="13" t="s">
        <v>385</v>
      </c>
      <c r="D35" s="13" t="s">
        <v>387</v>
      </c>
      <c r="E35" s="13" t="s">
        <v>388</v>
      </c>
      <c r="F35" s="16" t="s">
        <v>69</v>
      </c>
      <c r="G35" s="16" t="s">
        <v>389</v>
      </c>
      <c r="H35" s="13" t="s">
        <v>215</v>
      </c>
      <c r="I35" s="16" t="s">
        <v>216</v>
      </c>
      <c r="J35" s="16" t="s">
        <v>175</v>
      </c>
      <c r="K35" s="16" t="s">
        <v>210</v>
      </c>
      <c r="L35" s="13">
        <f t="shared" si="1"/>
        <v>22</v>
      </c>
      <c r="M35" s="13">
        <f t="shared" si="2"/>
        <v>19</v>
      </c>
      <c r="N35" s="13">
        <f t="shared" si="3"/>
        <v>1</v>
      </c>
      <c r="O35" s="13">
        <f t="shared" si="4"/>
        <v>1</v>
      </c>
      <c r="P35" s="32" t="str">
        <f t="shared" si="5"/>
        <v>Thành viên</v>
      </c>
      <c r="Q35" s="13">
        <v>0.0</v>
      </c>
      <c r="R35" s="13" t="s">
        <v>55</v>
      </c>
      <c r="S35" s="13" t="s">
        <v>55</v>
      </c>
      <c r="T35" s="13">
        <f>COUNTIFS('4. Chi tiết Sự kiện'!$C$4:$C$103, A35, '4. Chi tiết Sự kiện'!$E$4:$E$103, "Khách mời", '4. Chi tiết Sự kiện'!$H$4:$H$103, "Có", '4. Chi tiết Sự kiện'!$B$4:$B$103, "&gt;="&amp;$V$1, '4. Chi tiết Sự kiện'!$B$4:$B$103, "&lt;="&amp;$V$2)</f>
        <v>0</v>
      </c>
      <c r="U35" s="13">
        <f>COUNTIFS('4. Chi tiết Sự kiện'!$F$4:$F$103, A35, '4. Chi tiết Sự kiện'!$B$4:$B$103, "&gt;="&amp;$V$1, '4. Chi tiết Sự kiện'!$B$4:$B$103, "&lt;="&amp;$V$2)</f>
        <v>0</v>
      </c>
      <c r="V35" s="13">
        <f>COUNTIFS('4. Chi tiết Sự kiện'!$F$4:$F$103, A35, '4. Chi tiết Sự kiện'!$E$4:$E$103, "Khách mời", '4. Chi tiết Sự kiện'!$B$4:$B$103, "&gt;="&amp;$V$1, '4. Chi tiết Sự kiện'!$B$4:$B$103, "&lt;="&amp;$V$2)</f>
        <v>0</v>
      </c>
      <c r="W35" s="24">
        <f>SUMIFS('4. Chi tiết Sự kiện'!$L$4:$L$103, '4. Chi tiết Sự kiện'!$C$4:$C$103, A35, '4. Chi tiết Sự kiện'!$B$4:$B$103, "&gt;="&amp;$V$1, '4. Chi tiết Sự kiện'!$B$4:$B$103, "&lt;="&amp;$V$2)</f>
        <v>0</v>
      </c>
      <c r="X35" s="24">
        <f>SUMIFS('4. Chi tiết Sự kiện'!$M$4:$M$103, '4. Chi tiết Sự kiện'!$C$4:$C$103, A35, '4. Chi tiết Sự kiện'!$B$4:$B$103, "&gt;="&amp;$V$1, '4. Chi tiết Sự kiện'!$B$4:$B$103, "&lt;="&amp;$V$2)</f>
        <v>0</v>
      </c>
      <c r="Y35" s="24">
        <f>SUMIFS('5. Nhật ký Hợp đồng'!$K$4:$K$103, '5. Nhật ký Hợp đồng'!$E$4:$E$103, A35, '5. Nhật ký Hợp đồng'!$N$4:$N$103, "Đã duyệt", '5. Nhật ký Hợp đồng'!$B$4:$B$103, "&gt;="&amp;$V$1, '5. Nhật ký Hợp đồng'!$B$4:$B$103, "&lt;="&amp;$V$2) + SUMIFS('5. Nhật ký Hợp đồng'!$L$4:$L$103, '5. Nhật ký Hợp đồng'!$G$4:$G$103, A35, '5. Nhật ký Hợp đồng'!$N$4:$N$103, "Đã duyệt", '5. Nhật ký Hợp đồng'!$B$4:$B$103, "&gt;="&amp;$V$1, '5. Nhật ký Hợp đồng'!$B$4:$B$103, "&lt;="&amp;$V$2) + SUMIFS('5. Nhật ký Hợp đồng'!$M$4:$M$103, '5. Nhật ký Hợp đồng'!$I$4:$I$103, A35, '5. Nhật ký Hợp đồng'!$N$4:$N$103, "Đã duyệt", '5. Nhật ký Hợp đồng'!$B$4:$B$103, "&gt;="&amp;$V$1, '5. Nhật ký Hợp đồng'!$B$4:$B$103, "&lt;="&amp;$V$2)</f>
        <v>0</v>
      </c>
      <c r="Z35" s="24">
        <f>SUMIFS('7. Nhật ký Đào tạo'!$L$4:$L$103, '7. Nhật ký Đào tạo'!$B$4:$B$103, A35, '7. Nhật ký Đào tạo'!$K$4:$K$103, "Đã duyệt", '7. Nhật ký Đào tạo'!$M$4:$M$103, "&gt;="&amp;$V$1, '7. Nhật ký Đào tạo'!$M$4:$M$103, "&lt;="&amp;$V$2)</f>
        <v>0</v>
      </c>
      <c r="AA35" s="30">
        <f t="shared" si="6"/>
        <v>0</v>
      </c>
    </row>
    <row r="36" ht="15.0" customHeight="1">
      <c r="A36" s="13" t="s">
        <v>118</v>
      </c>
      <c r="B36" s="16" t="s">
        <v>119</v>
      </c>
      <c r="C36" s="13" t="s">
        <v>118</v>
      </c>
      <c r="D36" s="13" t="s">
        <v>186</v>
      </c>
      <c r="E36" s="13" t="s">
        <v>404</v>
      </c>
      <c r="F36" s="16" t="s">
        <v>145</v>
      </c>
      <c r="G36" s="16" t="s">
        <v>405</v>
      </c>
      <c r="H36" s="13" t="s">
        <v>33</v>
      </c>
      <c r="I36" s="16" t="s">
        <v>34</v>
      </c>
      <c r="J36" s="16" t="s">
        <v>175</v>
      </c>
      <c r="K36" s="16" t="s">
        <v>407</v>
      </c>
      <c r="L36" s="13">
        <f t="shared" si="1"/>
        <v>5</v>
      </c>
      <c r="M36" s="13">
        <f t="shared" si="2"/>
        <v>5</v>
      </c>
      <c r="N36" s="13">
        <f t="shared" si="3"/>
        <v>0</v>
      </c>
      <c r="O36" s="13">
        <f t="shared" si="4"/>
        <v>0</v>
      </c>
      <c r="P36" s="32" t="str">
        <f t="shared" si="5"/>
        <v>Thành viên</v>
      </c>
      <c r="Q36" s="13">
        <v>0.0</v>
      </c>
      <c r="R36" s="13" t="s">
        <v>55</v>
      </c>
      <c r="S36" s="13" t="s">
        <v>55</v>
      </c>
      <c r="T36" s="13">
        <f>COUNTIFS('4. Chi tiết Sự kiện'!$C$4:$C$103, A36, '4. Chi tiết Sự kiện'!$E$4:$E$103, "Khách mời", '4. Chi tiết Sự kiện'!$H$4:$H$103, "Có", '4. Chi tiết Sự kiện'!$B$4:$B$103, "&gt;="&amp;$V$1, '4. Chi tiết Sự kiện'!$B$4:$B$103, "&lt;="&amp;$V$2)</f>
        <v>3</v>
      </c>
      <c r="U36" s="13">
        <f>COUNTIFS('4. Chi tiết Sự kiện'!$F$4:$F$103, A36, '4. Chi tiết Sự kiện'!$B$4:$B$103, "&gt;="&amp;$V$1, '4. Chi tiết Sự kiện'!$B$4:$B$103, "&lt;="&amp;$V$2)</f>
        <v>0</v>
      </c>
      <c r="V36" s="13">
        <f>COUNTIFS('4. Chi tiết Sự kiện'!$F$4:$F$103, A36, '4. Chi tiết Sự kiện'!$E$4:$E$103, "Khách mời", '4. Chi tiết Sự kiện'!$B$4:$B$103, "&gt;="&amp;$V$1, '4. Chi tiết Sự kiện'!$B$4:$B$103, "&lt;="&amp;$V$2)</f>
        <v>0</v>
      </c>
      <c r="W36" s="24">
        <f>SUMIFS('4. Chi tiết Sự kiện'!$L$4:$L$103, '4. Chi tiết Sự kiện'!$C$4:$C$103, A36, '4. Chi tiết Sự kiện'!$B$4:$B$103, "&gt;="&amp;$V$1, '4. Chi tiết Sự kiện'!$B$4:$B$103, "&lt;="&amp;$V$2)</f>
        <v>0</v>
      </c>
      <c r="X36" s="24">
        <f>SUMIFS('4. Chi tiết Sự kiện'!$M$4:$M$103, '4. Chi tiết Sự kiện'!$C$4:$C$103, A36, '4. Chi tiết Sự kiện'!$B$4:$B$103, "&gt;="&amp;$V$1, '4. Chi tiết Sự kiện'!$B$4:$B$103, "&lt;="&amp;$V$2)</f>
        <v>0</v>
      </c>
      <c r="Y36" s="24">
        <f>SUMIFS('5. Nhật ký Hợp đồng'!$K$4:$K$103, '5. Nhật ký Hợp đồng'!$E$4:$E$103, A36, '5. Nhật ký Hợp đồng'!$N$4:$N$103, "Đã duyệt", '5. Nhật ký Hợp đồng'!$B$4:$B$103, "&gt;="&amp;$V$1, '5. Nhật ký Hợp đồng'!$B$4:$B$103, "&lt;="&amp;$V$2) + SUMIFS('5. Nhật ký Hợp đồng'!$L$4:$L$103, '5. Nhật ký Hợp đồng'!$G$4:$G$103, A36, '5. Nhật ký Hợp đồng'!$N$4:$N$103, "Đã duyệt", '5. Nhật ký Hợp đồng'!$B$4:$B$103, "&gt;="&amp;$V$1, '5. Nhật ký Hợp đồng'!$B$4:$B$103, "&lt;="&amp;$V$2) + SUMIFS('5. Nhật ký Hợp đồng'!$M$4:$M$103, '5. Nhật ký Hợp đồng'!$I$4:$I$103, A36, '5. Nhật ký Hợp đồng'!$N$4:$N$103, "Đã duyệt", '5. Nhật ký Hợp đồng'!$B$4:$B$103, "&gt;="&amp;$V$1, '5. Nhật ký Hợp đồng'!$B$4:$B$103, "&lt;="&amp;$V$2)</f>
        <v>0</v>
      </c>
      <c r="Z36" s="24">
        <f>SUMIFS('7. Nhật ký Đào tạo'!$L$4:$L$103, '7. Nhật ký Đào tạo'!$B$4:$B$103, A36, '7. Nhật ký Đào tạo'!$K$4:$K$103, "Đã duyệt", '7. Nhật ký Đào tạo'!$M$4:$M$103, "&gt;="&amp;$V$1, '7. Nhật ký Đào tạo'!$M$4:$M$103, "&lt;="&amp;$V$2)</f>
        <v>0</v>
      </c>
      <c r="AA36" s="30">
        <f t="shared" si="6"/>
        <v>0</v>
      </c>
    </row>
    <row r="37" ht="15.0" customHeight="1">
      <c r="A37" s="13" t="s">
        <v>123</v>
      </c>
      <c r="B37" s="16" t="s">
        <v>124</v>
      </c>
      <c r="C37" s="13" t="s">
        <v>123</v>
      </c>
      <c r="D37" s="13" t="s">
        <v>181</v>
      </c>
      <c r="E37" s="13" t="s">
        <v>410</v>
      </c>
      <c r="F37" s="16" t="s">
        <v>145</v>
      </c>
      <c r="G37" s="16" t="s">
        <v>411</v>
      </c>
      <c r="H37" s="13" t="s">
        <v>98</v>
      </c>
      <c r="I37" s="16" t="s">
        <v>99</v>
      </c>
      <c r="J37" s="16" t="s">
        <v>175</v>
      </c>
      <c r="K37" s="16" t="s">
        <v>407</v>
      </c>
      <c r="L37" s="13">
        <f t="shared" si="1"/>
        <v>5</v>
      </c>
      <c r="M37" s="13">
        <f t="shared" si="2"/>
        <v>5</v>
      </c>
      <c r="N37" s="13">
        <f t="shared" si="3"/>
        <v>0</v>
      </c>
      <c r="O37" s="13">
        <f t="shared" si="4"/>
        <v>0</v>
      </c>
      <c r="P37" s="32" t="str">
        <f t="shared" si="5"/>
        <v>Thành viên</v>
      </c>
      <c r="Q37" s="13">
        <v>0.0</v>
      </c>
      <c r="R37" s="13" t="s">
        <v>55</v>
      </c>
      <c r="S37" s="13" t="s">
        <v>55</v>
      </c>
      <c r="T37" s="13">
        <f>COUNTIFS('4. Chi tiết Sự kiện'!$C$4:$C$103, A37, '4. Chi tiết Sự kiện'!$E$4:$E$103, "Khách mời", '4. Chi tiết Sự kiện'!$H$4:$H$103, "Có", '4. Chi tiết Sự kiện'!$B$4:$B$103, "&gt;="&amp;$V$1, '4. Chi tiết Sự kiện'!$B$4:$B$103, "&lt;="&amp;$V$2)</f>
        <v>3</v>
      </c>
      <c r="U37" s="13">
        <f>COUNTIFS('4. Chi tiết Sự kiện'!$F$4:$F$103, A37, '4. Chi tiết Sự kiện'!$B$4:$B$103, "&gt;="&amp;$V$1, '4. Chi tiết Sự kiện'!$B$4:$B$103, "&lt;="&amp;$V$2)</f>
        <v>0</v>
      </c>
      <c r="V37" s="13">
        <f>COUNTIFS('4. Chi tiết Sự kiện'!$F$4:$F$103, A37, '4. Chi tiết Sự kiện'!$E$4:$E$103, "Khách mời", '4. Chi tiết Sự kiện'!$B$4:$B$103, "&gt;="&amp;$V$1, '4. Chi tiết Sự kiện'!$B$4:$B$103, "&lt;="&amp;$V$2)</f>
        <v>0</v>
      </c>
      <c r="W37" s="24">
        <f>SUMIFS('4. Chi tiết Sự kiện'!$L$4:$L$103, '4. Chi tiết Sự kiện'!$C$4:$C$103, A37, '4. Chi tiết Sự kiện'!$B$4:$B$103, "&gt;="&amp;$V$1, '4. Chi tiết Sự kiện'!$B$4:$B$103, "&lt;="&amp;$V$2)</f>
        <v>0</v>
      </c>
      <c r="X37" s="24">
        <f>SUMIFS('4. Chi tiết Sự kiện'!$M$4:$M$103, '4. Chi tiết Sự kiện'!$C$4:$C$103, A37, '4. Chi tiết Sự kiện'!$B$4:$B$103, "&gt;="&amp;$V$1, '4. Chi tiết Sự kiện'!$B$4:$B$103, "&lt;="&amp;$V$2)</f>
        <v>0</v>
      </c>
      <c r="Y37" s="24">
        <f>SUMIFS('5. Nhật ký Hợp đồng'!$K$4:$K$103, '5. Nhật ký Hợp đồng'!$E$4:$E$103, A37, '5. Nhật ký Hợp đồng'!$N$4:$N$103, "Đã duyệt", '5. Nhật ký Hợp đồng'!$B$4:$B$103, "&gt;="&amp;$V$1, '5. Nhật ký Hợp đồng'!$B$4:$B$103, "&lt;="&amp;$V$2) + SUMIFS('5. Nhật ký Hợp đồng'!$L$4:$L$103, '5. Nhật ký Hợp đồng'!$G$4:$G$103, A37, '5. Nhật ký Hợp đồng'!$N$4:$N$103, "Đã duyệt", '5. Nhật ký Hợp đồng'!$B$4:$B$103, "&gt;="&amp;$V$1, '5. Nhật ký Hợp đồng'!$B$4:$B$103, "&lt;="&amp;$V$2) + SUMIFS('5. Nhật ký Hợp đồng'!$M$4:$M$103, '5. Nhật ký Hợp đồng'!$I$4:$I$103, A37, '5. Nhật ký Hợp đồng'!$N$4:$N$103, "Đã duyệt", '5. Nhật ký Hợp đồng'!$B$4:$B$103, "&gt;="&amp;$V$1, '5. Nhật ký Hợp đồng'!$B$4:$B$103, "&lt;="&amp;$V$2)</f>
        <v>0</v>
      </c>
      <c r="Z37" s="24">
        <f>SUMIFS('7. Nhật ký Đào tạo'!$L$4:$L$103, '7. Nhật ký Đào tạo'!$B$4:$B$103, A37, '7. Nhật ký Đào tạo'!$K$4:$K$103, "Đã duyệt", '7. Nhật ký Đào tạo'!$M$4:$M$103, "&gt;="&amp;$V$1, '7. Nhật ký Đào tạo'!$M$4:$M$103, "&lt;="&amp;$V$2)</f>
        <v>0</v>
      </c>
      <c r="AA37" s="30">
        <f t="shared" si="6"/>
        <v>0</v>
      </c>
    </row>
    <row r="38" ht="15.0" customHeight="1">
      <c r="A38" s="13" t="s">
        <v>129</v>
      </c>
      <c r="B38" s="16" t="s">
        <v>130</v>
      </c>
      <c r="C38" s="13" t="s">
        <v>129</v>
      </c>
      <c r="D38" s="13" t="s">
        <v>176</v>
      </c>
      <c r="E38" s="13" t="s">
        <v>412</v>
      </c>
      <c r="F38" s="16" t="s">
        <v>145</v>
      </c>
      <c r="G38" s="16" t="s">
        <v>413</v>
      </c>
      <c r="H38" s="13" t="s">
        <v>98</v>
      </c>
      <c r="I38" s="16" t="s">
        <v>99</v>
      </c>
      <c r="J38" s="16" t="s">
        <v>175</v>
      </c>
      <c r="K38" s="16" t="s">
        <v>407</v>
      </c>
      <c r="L38" s="13">
        <f t="shared" si="1"/>
        <v>5</v>
      </c>
      <c r="M38" s="13">
        <f t="shared" si="2"/>
        <v>5</v>
      </c>
      <c r="N38" s="13">
        <f t="shared" si="3"/>
        <v>0</v>
      </c>
      <c r="O38" s="13">
        <f t="shared" si="4"/>
        <v>0</v>
      </c>
      <c r="P38" s="32" t="str">
        <f t="shared" si="5"/>
        <v>Thành viên</v>
      </c>
      <c r="Q38" s="13">
        <v>0.0</v>
      </c>
      <c r="R38" s="13" t="s">
        <v>55</v>
      </c>
      <c r="S38" s="13" t="s">
        <v>55</v>
      </c>
      <c r="T38" s="13">
        <f>COUNTIFS('4. Chi tiết Sự kiện'!$C$4:$C$103, A38, '4. Chi tiết Sự kiện'!$E$4:$E$103, "Khách mời", '4. Chi tiết Sự kiện'!$H$4:$H$103, "Có", '4. Chi tiết Sự kiện'!$B$4:$B$103, "&gt;="&amp;$V$1, '4. Chi tiết Sự kiện'!$B$4:$B$103, "&lt;="&amp;$V$2)</f>
        <v>0</v>
      </c>
      <c r="U38" s="13">
        <f>COUNTIFS('4. Chi tiết Sự kiện'!$F$4:$F$103, A38, '4. Chi tiết Sự kiện'!$B$4:$B$103, "&gt;="&amp;$V$1, '4. Chi tiết Sự kiện'!$B$4:$B$103, "&lt;="&amp;$V$2)</f>
        <v>0</v>
      </c>
      <c r="V38" s="13">
        <f>COUNTIFS('4. Chi tiết Sự kiện'!$F$4:$F$103, A38, '4. Chi tiết Sự kiện'!$E$4:$E$103, "Khách mời", '4. Chi tiết Sự kiện'!$B$4:$B$103, "&gt;="&amp;$V$1, '4. Chi tiết Sự kiện'!$B$4:$B$103, "&lt;="&amp;$V$2)</f>
        <v>0</v>
      </c>
      <c r="W38" s="24">
        <f>SUMIFS('4. Chi tiết Sự kiện'!$L$4:$L$103, '4. Chi tiết Sự kiện'!$C$4:$C$103, A38, '4. Chi tiết Sự kiện'!$B$4:$B$103, "&gt;="&amp;$V$1, '4. Chi tiết Sự kiện'!$B$4:$B$103, "&lt;="&amp;$V$2)</f>
        <v>0</v>
      </c>
      <c r="X38" s="24">
        <f>SUMIFS('4. Chi tiết Sự kiện'!$M$4:$M$103, '4. Chi tiết Sự kiện'!$C$4:$C$103, A38, '4. Chi tiết Sự kiện'!$B$4:$B$103, "&gt;="&amp;$V$1, '4. Chi tiết Sự kiện'!$B$4:$B$103, "&lt;="&amp;$V$2)</f>
        <v>300000</v>
      </c>
      <c r="Y38" s="24">
        <f>SUMIFS('5. Nhật ký Hợp đồng'!$K$4:$K$103, '5. Nhật ký Hợp đồng'!$E$4:$E$103, A38, '5. Nhật ký Hợp đồng'!$N$4:$N$103, "Đã duyệt", '5. Nhật ký Hợp đồng'!$B$4:$B$103, "&gt;="&amp;$V$1, '5. Nhật ký Hợp đồng'!$B$4:$B$103, "&lt;="&amp;$V$2) + SUMIFS('5. Nhật ký Hợp đồng'!$L$4:$L$103, '5. Nhật ký Hợp đồng'!$G$4:$G$103, A38, '5. Nhật ký Hợp đồng'!$N$4:$N$103, "Đã duyệt", '5. Nhật ký Hợp đồng'!$B$4:$B$103, "&gt;="&amp;$V$1, '5. Nhật ký Hợp đồng'!$B$4:$B$103, "&lt;="&amp;$V$2) + SUMIFS('5. Nhật ký Hợp đồng'!$M$4:$M$103, '5. Nhật ký Hợp đồng'!$I$4:$I$103, A38, '5. Nhật ký Hợp đồng'!$N$4:$N$103, "Đã duyệt", '5. Nhật ký Hợp đồng'!$B$4:$B$103, "&gt;="&amp;$V$1, '5. Nhật ký Hợp đồng'!$B$4:$B$103, "&lt;="&amp;$V$2)</f>
        <v>0</v>
      </c>
      <c r="Z38" s="24">
        <f>SUMIFS('7. Nhật ký Đào tạo'!$L$4:$L$103, '7. Nhật ký Đào tạo'!$B$4:$B$103, A38, '7. Nhật ký Đào tạo'!$K$4:$K$103, "Đã duyệt", '7. Nhật ký Đào tạo'!$M$4:$M$103, "&gt;="&amp;$V$1, '7. Nhật ký Đào tạo'!$M$4:$M$103, "&lt;="&amp;$V$2)</f>
        <v>0</v>
      </c>
      <c r="AA38" s="30">
        <f t="shared" si="6"/>
        <v>300000</v>
      </c>
    </row>
    <row r="39" ht="15.0" customHeight="1">
      <c r="A39" s="13" t="s">
        <v>140</v>
      </c>
      <c r="B39" s="16" t="s">
        <v>141</v>
      </c>
      <c r="C39" s="13" t="s">
        <v>140</v>
      </c>
      <c r="D39" s="13" t="s">
        <v>171</v>
      </c>
      <c r="E39" s="13" t="s">
        <v>416</v>
      </c>
      <c r="F39" s="16" t="s">
        <v>145</v>
      </c>
      <c r="G39" s="16" t="s">
        <v>417</v>
      </c>
      <c r="H39" s="13" t="s">
        <v>33</v>
      </c>
      <c r="I39" s="16" t="s">
        <v>34</v>
      </c>
      <c r="J39" s="16" t="s">
        <v>175</v>
      </c>
      <c r="K39" s="16" t="s">
        <v>407</v>
      </c>
      <c r="L39" s="13">
        <f t="shared" si="1"/>
        <v>5</v>
      </c>
      <c r="M39" s="13">
        <f t="shared" si="2"/>
        <v>5</v>
      </c>
      <c r="N39" s="13">
        <f t="shared" si="3"/>
        <v>0</v>
      </c>
      <c r="O39" s="13">
        <f t="shared" si="4"/>
        <v>0</v>
      </c>
      <c r="P39" s="32" t="str">
        <f t="shared" si="5"/>
        <v>Thành viên</v>
      </c>
      <c r="Q39" s="13">
        <v>0.0</v>
      </c>
      <c r="R39" s="13" t="s">
        <v>55</v>
      </c>
      <c r="S39" s="13" t="s">
        <v>55</v>
      </c>
      <c r="T39" s="13">
        <f>COUNTIFS('4. Chi tiết Sự kiện'!$C$4:$C$103, A39, '4. Chi tiết Sự kiện'!$E$4:$E$103, "Khách mời", '4. Chi tiết Sự kiện'!$H$4:$H$103, "Có", '4. Chi tiết Sự kiện'!$B$4:$B$103, "&gt;="&amp;$V$1, '4. Chi tiết Sự kiện'!$B$4:$B$103, "&lt;="&amp;$V$2)</f>
        <v>1</v>
      </c>
      <c r="U39" s="13">
        <f>COUNTIFS('4. Chi tiết Sự kiện'!$F$4:$F$103, A39, '4. Chi tiết Sự kiện'!$B$4:$B$103, "&gt;="&amp;$V$1, '4. Chi tiết Sự kiện'!$B$4:$B$103, "&lt;="&amp;$V$2)</f>
        <v>0</v>
      </c>
      <c r="V39" s="13">
        <f>COUNTIFS('4. Chi tiết Sự kiện'!$F$4:$F$103, A39, '4. Chi tiết Sự kiện'!$E$4:$E$103, "Khách mời", '4. Chi tiết Sự kiện'!$B$4:$B$103, "&gt;="&amp;$V$1, '4. Chi tiết Sự kiện'!$B$4:$B$103, "&lt;="&amp;$V$2)</f>
        <v>0</v>
      </c>
      <c r="W39" s="24">
        <f>SUMIFS('4. Chi tiết Sự kiện'!$L$4:$L$103, '4. Chi tiết Sự kiện'!$C$4:$C$103, A39, '4. Chi tiết Sự kiện'!$B$4:$B$103, "&gt;="&amp;$V$1, '4. Chi tiết Sự kiện'!$B$4:$B$103, "&lt;="&amp;$V$2)</f>
        <v>0</v>
      </c>
      <c r="X39" s="24">
        <f>SUMIFS('4. Chi tiết Sự kiện'!$M$4:$M$103, '4. Chi tiết Sự kiện'!$C$4:$C$103, A39, '4. Chi tiết Sự kiện'!$B$4:$B$103, "&gt;="&amp;$V$1, '4. Chi tiết Sự kiện'!$B$4:$B$103, "&lt;="&amp;$V$2)</f>
        <v>0</v>
      </c>
      <c r="Y39" s="24">
        <f>SUMIFS('5. Nhật ký Hợp đồng'!$K$4:$K$103, '5. Nhật ký Hợp đồng'!$E$4:$E$103, A39, '5. Nhật ký Hợp đồng'!$N$4:$N$103, "Đã duyệt", '5. Nhật ký Hợp đồng'!$B$4:$B$103, "&gt;="&amp;$V$1, '5. Nhật ký Hợp đồng'!$B$4:$B$103, "&lt;="&amp;$V$2) + SUMIFS('5. Nhật ký Hợp đồng'!$L$4:$L$103, '5. Nhật ký Hợp đồng'!$G$4:$G$103, A39, '5. Nhật ký Hợp đồng'!$N$4:$N$103, "Đã duyệt", '5. Nhật ký Hợp đồng'!$B$4:$B$103, "&gt;="&amp;$V$1, '5. Nhật ký Hợp đồng'!$B$4:$B$103, "&lt;="&amp;$V$2) + SUMIFS('5. Nhật ký Hợp đồng'!$M$4:$M$103, '5. Nhật ký Hợp đồng'!$I$4:$I$103, A39, '5. Nhật ký Hợp đồng'!$N$4:$N$103, "Đã duyệt", '5. Nhật ký Hợp đồng'!$B$4:$B$103, "&gt;="&amp;$V$1, '5. Nhật ký Hợp đồng'!$B$4:$B$103, "&lt;="&amp;$V$2)</f>
        <v>0</v>
      </c>
      <c r="Z39" s="24">
        <f>SUMIFS('7. Nhật ký Đào tạo'!$L$4:$L$103, '7. Nhật ký Đào tạo'!$B$4:$B$103, A39, '7. Nhật ký Đào tạo'!$K$4:$K$103, "Đã duyệt", '7. Nhật ký Đào tạo'!$M$4:$M$103, "&gt;="&amp;$V$1, '7. Nhật ký Đào tạo'!$M$4:$M$103, "&lt;="&amp;$V$2)</f>
        <v>0</v>
      </c>
      <c r="AA39" s="30">
        <f t="shared" si="6"/>
        <v>0</v>
      </c>
    </row>
    <row r="40" ht="15.0" customHeight="1">
      <c r="A40" s="13" t="s">
        <v>151</v>
      </c>
      <c r="B40" s="16" t="s">
        <v>152</v>
      </c>
      <c r="C40" s="13" t="s">
        <v>151</v>
      </c>
      <c r="D40" s="13" t="s">
        <v>449</v>
      </c>
      <c r="E40" s="13" t="s">
        <v>450</v>
      </c>
      <c r="F40" s="16" t="s">
        <v>145</v>
      </c>
      <c r="G40" s="16" t="s">
        <v>451</v>
      </c>
      <c r="H40" s="13" t="s">
        <v>33</v>
      </c>
      <c r="I40" s="16" t="s">
        <v>34</v>
      </c>
      <c r="J40" s="16" t="s">
        <v>175</v>
      </c>
      <c r="K40" s="16" t="s">
        <v>407</v>
      </c>
      <c r="L40" s="13">
        <f t="shared" si="1"/>
        <v>5</v>
      </c>
      <c r="M40" s="13">
        <f t="shared" si="2"/>
        <v>5</v>
      </c>
      <c r="N40" s="13">
        <f t="shared" si="3"/>
        <v>0</v>
      </c>
      <c r="O40" s="13">
        <f t="shared" si="4"/>
        <v>0</v>
      </c>
      <c r="P40" s="32" t="str">
        <f t="shared" si="5"/>
        <v>Thành viên</v>
      </c>
      <c r="Q40" s="13">
        <v>0.0</v>
      </c>
      <c r="R40" s="13" t="s">
        <v>55</v>
      </c>
      <c r="S40" s="13" t="s">
        <v>55</v>
      </c>
      <c r="T40" s="13">
        <f>COUNTIFS('4. Chi tiết Sự kiện'!$C$4:$C$103, A40, '4. Chi tiết Sự kiện'!$E$4:$E$103, "Khách mời", '4. Chi tiết Sự kiện'!$H$4:$H$103, "Có", '4. Chi tiết Sự kiện'!$B$4:$B$103, "&gt;="&amp;$V$1, '4. Chi tiết Sự kiện'!$B$4:$B$103, "&lt;="&amp;$V$2)</f>
        <v>1</v>
      </c>
      <c r="U40" s="13">
        <f>COUNTIFS('4. Chi tiết Sự kiện'!$F$4:$F$103, A40, '4. Chi tiết Sự kiện'!$B$4:$B$103, "&gt;="&amp;$V$1, '4. Chi tiết Sự kiện'!$B$4:$B$103, "&lt;="&amp;$V$2)</f>
        <v>0</v>
      </c>
      <c r="V40" s="13">
        <f>COUNTIFS('4. Chi tiết Sự kiện'!$F$4:$F$103, A40, '4. Chi tiết Sự kiện'!$E$4:$E$103, "Khách mời", '4. Chi tiết Sự kiện'!$B$4:$B$103, "&gt;="&amp;$V$1, '4. Chi tiết Sự kiện'!$B$4:$B$103, "&lt;="&amp;$V$2)</f>
        <v>0</v>
      </c>
      <c r="W40" s="24">
        <f>SUMIFS('4. Chi tiết Sự kiện'!$L$4:$L$103, '4. Chi tiết Sự kiện'!$C$4:$C$103, A40, '4. Chi tiết Sự kiện'!$B$4:$B$103, "&gt;="&amp;$V$1, '4. Chi tiết Sự kiện'!$B$4:$B$103, "&lt;="&amp;$V$2)</f>
        <v>0</v>
      </c>
      <c r="X40" s="24">
        <f>SUMIFS('4. Chi tiết Sự kiện'!$M$4:$M$103, '4. Chi tiết Sự kiện'!$C$4:$C$103, A40, '4. Chi tiết Sự kiện'!$B$4:$B$103, "&gt;="&amp;$V$1, '4. Chi tiết Sự kiện'!$B$4:$B$103, "&lt;="&amp;$V$2)</f>
        <v>0</v>
      </c>
      <c r="Y40" s="24">
        <f>SUMIFS('5. Nhật ký Hợp đồng'!$K$4:$K$103, '5. Nhật ký Hợp đồng'!$E$4:$E$103, A40, '5. Nhật ký Hợp đồng'!$N$4:$N$103, "Đã duyệt", '5. Nhật ký Hợp đồng'!$B$4:$B$103, "&gt;="&amp;$V$1, '5. Nhật ký Hợp đồng'!$B$4:$B$103, "&lt;="&amp;$V$2) + SUMIFS('5. Nhật ký Hợp đồng'!$L$4:$L$103, '5. Nhật ký Hợp đồng'!$G$4:$G$103, A40, '5. Nhật ký Hợp đồng'!$N$4:$N$103, "Đã duyệt", '5. Nhật ký Hợp đồng'!$B$4:$B$103, "&gt;="&amp;$V$1, '5. Nhật ký Hợp đồng'!$B$4:$B$103, "&lt;="&amp;$V$2) + SUMIFS('5. Nhật ký Hợp đồng'!$M$4:$M$103, '5. Nhật ký Hợp đồng'!$I$4:$I$103, A40, '5. Nhật ký Hợp đồng'!$N$4:$N$103, "Đã duyệt", '5. Nhật ký Hợp đồng'!$B$4:$B$103, "&gt;="&amp;$V$1, '5. Nhật ký Hợp đồng'!$B$4:$B$103, "&lt;="&amp;$V$2)</f>
        <v>0</v>
      </c>
      <c r="Z40" s="24">
        <f>SUMIFS('7. Nhật ký Đào tạo'!$L$4:$L$103, '7. Nhật ký Đào tạo'!$B$4:$B$103, A40, '7. Nhật ký Đào tạo'!$K$4:$K$103, "Đã duyệt", '7. Nhật ký Đào tạo'!$M$4:$M$103, "&gt;="&amp;$V$1, '7. Nhật ký Đào tạo'!$M$4:$M$103, "&lt;="&amp;$V$2)</f>
        <v>0</v>
      </c>
      <c r="AA40" s="30">
        <f t="shared" si="6"/>
        <v>0</v>
      </c>
    </row>
    <row r="41" ht="15.0" customHeight="1">
      <c r="A41" s="49" t="s">
        <v>142</v>
      </c>
      <c r="B41" s="51"/>
      <c r="C41" s="50"/>
      <c r="D41" s="50"/>
      <c r="E41" s="50"/>
      <c r="F41" s="51"/>
      <c r="G41" s="51"/>
      <c r="H41" s="50"/>
      <c r="I41" s="51"/>
      <c r="J41" s="51"/>
      <c r="K41" s="51"/>
      <c r="L41" s="49">
        <f t="shared" ref="L41:O41" si="7">SUM(L4:L40)</f>
        <v>577</v>
      </c>
      <c r="M41" s="49">
        <f t="shared" si="7"/>
        <v>485</v>
      </c>
      <c r="N41" s="49">
        <f t="shared" si="7"/>
        <v>32</v>
      </c>
      <c r="O41" s="49">
        <f t="shared" si="7"/>
        <v>30</v>
      </c>
      <c r="P41" s="51"/>
      <c r="Q41" s="50"/>
      <c r="R41" s="50"/>
      <c r="S41" s="50"/>
      <c r="T41" s="49">
        <f t="shared" ref="T41:AA41" si="8">SUM(T4:T40)</f>
        <v>8</v>
      </c>
      <c r="U41" s="49">
        <f t="shared" si="8"/>
        <v>9</v>
      </c>
      <c r="V41" s="49">
        <f t="shared" si="8"/>
        <v>8</v>
      </c>
      <c r="W41" s="52">
        <f t="shared" si="8"/>
        <v>0</v>
      </c>
      <c r="X41" s="52">
        <f t="shared" si="8"/>
        <v>3000000</v>
      </c>
      <c r="Y41" s="52">
        <f t="shared" si="8"/>
        <v>37500000</v>
      </c>
      <c r="Z41" s="52">
        <f t="shared" si="8"/>
        <v>16000000</v>
      </c>
      <c r="AA41" s="52">
        <f t="shared" si="8"/>
        <v>56500000</v>
      </c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">
    <mergeCell ref="A1:S1"/>
  </mergeCells>
  <dataValidations>
    <dataValidation type="list" allowBlank="1" sqref="J4:J103">
      <formula1>"Giám đốc,Phó Giám đốc,Trưởng phòng,Thành viên"</formula1>
    </dataValidation>
    <dataValidation type="list" allowBlank="1" sqref="R4:S103">
      <formula1>"Có,Không"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2.0"/>
    <col customWidth="1" min="3" max="3" width="30.0"/>
    <col customWidth="1" min="4" max="4" width="12.0"/>
    <col customWidth="1" min="5" max="5" width="22.0"/>
    <col customWidth="1" min="6" max="6" width="30.0"/>
    <col customWidth="1" min="7" max="7" width="45.0"/>
    <col customWidth="1" min="8" max="8" width="30.0"/>
    <col customWidth="1" min="9" max="9" width="29.0"/>
    <col customWidth="1" min="10" max="10" width="30.0"/>
    <col customWidth="1" min="11" max="11" width="29.0"/>
    <col customWidth="1" min="12" max="12" width="16.0"/>
    <col customWidth="1" min="13" max="26" width="8.57"/>
  </cols>
  <sheetData>
    <row r="1" ht="34.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7.75" customHeight="1">
      <c r="A3" s="10" t="s">
        <v>5</v>
      </c>
      <c r="B3" s="10" t="s">
        <v>6</v>
      </c>
      <c r="C3" s="10" t="s">
        <v>9</v>
      </c>
      <c r="D3" s="10" t="s">
        <v>12</v>
      </c>
      <c r="E3" s="10" t="s">
        <v>15</v>
      </c>
      <c r="F3" s="10" t="s">
        <v>17</v>
      </c>
      <c r="G3" s="10" t="s">
        <v>19</v>
      </c>
      <c r="H3" s="10" t="s">
        <v>22</v>
      </c>
      <c r="I3" s="10" t="s">
        <v>25</v>
      </c>
      <c r="J3" s="10" t="s">
        <v>27</v>
      </c>
      <c r="K3" s="10" t="s">
        <v>28</v>
      </c>
      <c r="L3" s="10" t="s">
        <v>29</v>
      </c>
    </row>
    <row r="4" ht="15.0" customHeight="1">
      <c r="A4" s="13" t="s">
        <v>30</v>
      </c>
      <c r="B4" s="14">
        <v>46235.0</v>
      </c>
      <c r="C4" s="16" t="s">
        <v>35</v>
      </c>
      <c r="D4" s="16" t="s">
        <v>37</v>
      </c>
      <c r="E4" s="13">
        <f>COUNTIF('4. Chi tiết Sự kiện'!$A$4:$A$103, A4)</f>
        <v>8</v>
      </c>
      <c r="F4" s="13">
        <f>COUNTIFS('4. Chi tiết Sự kiện'!$A$4:$A$103, A4, '4. Chi tiết Sự kiện'!$E$4:$E$103, "Khách mời")</f>
        <v>2</v>
      </c>
      <c r="G4" s="13">
        <f>COUNTIFS('4. Chi tiết Sự kiện'!$A$4:$A$103, A4, '4. Chi tiết Sự kiện'!$E$4:$E$103, "Khách mời", '4. Chi tiết Sự kiện'!$H$4:$H$103, "Có")</f>
        <v>2</v>
      </c>
      <c r="H4" s="13">
        <f>COUNTIFS('4. Chi tiết Sự kiện'!$A$4:$A$103, A4, '4. Chi tiết Sự kiện'!$E$4:$E$103, "Khách mời", '4. Chi tiết Sự kiện'!$H$4:$H$103, "Không")</f>
        <v>0</v>
      </c>
      <c r="I4" s="24">
        <f>SUMIFS('4. Chi tiết Sự kiện'!$M$4:$M$103, '4. Chi tiết Sự kiện'!$A$4:$A$103, A4)</f>
        <v>1100000</v>
      </c>
      <c r="J4" s="28">
        <f>SUMIFS('4. Chi tiết Sự kiện'!$K$4:$K$103, '4. Chi tiết Sự kiện'!$A$4:$A$103, A4)</f>
        <v>350000</v>
      </c>
      <c r="K4" s="30">
        <f t="shared" ref="K4:K10" si="1">I4+J4</f>
        <v>1450000</v>
      </c>
      <c r="L4" s="13" t="s">
        <v>89</v>
      </c>
    </row>
    <row r="5" ht="15.0" customHeight="1">
      <c r="A5" s="13" t="s">
        <v>90</v>
      </c>
      <c r="B5" s="14">
        <v>46242.0</v>
      </c>
      <c r="C5" s="16" t="s">
        <v>91</v>
      </c>
      <c r="D5" s="16" t="s">
        <v>92</v>
      </c>
      <c r="E5" s="13">
        <f>COUNTIF('4. Chi tiết Sự kiện'!$A$4:$A$103, A5)</f>
        <v>7</v>
      </c>
      <c r="F5" s="13">
        <f>COUNTIFS('4. Chi tiết Sự kiện'!$A$4:$A$103, A5, '4. Chi tiết Sự kiện'!$E$4:$E$103, "Khách mời")</f>
        <v>3</v>
      </c>
      <c r="G5" s="13">
        <f>COUNTIFS('4. Chi tiết Sự kiện'!$A$4:$A$103, A5, '4. Chi tiết Sự kiện'!$E$4:$E$103, "Khách mời", '4. Chi tiết Sự kiện'!$H$4:$H$103, "Có")</f>
        <v>3</v>
      </c>
      <c r="H5" s="13">
        <f>COUNTIFS('4. Chi tiết Sự kiện'!$A$4:$A$103, A5, '4. Chi tiết Sự kiện'!$E$4:$E$103, "Khách mời", '4. Chi tiết Sự kiện'!$H$4:$H$103, "Không")</f>
        <v>0</v>
      </c>
      <c r="I5" s="24">
        <f>SUMIFS('4. Chi tiết Sự kiện'!$M$4:$M$103, '4. Chi tiết Sự kiện'!$A$4:$A$103, A5)</f>
        <v>1100000</v>
      </c>
      <c r="J5" s="28">
        <f>SUMIFS('4. Chi tiết Sự kiện'!$K$4:$K$103, '4. Chi tiết Sự kiện'!$A$4:$A$103, A5)</f>
        <v>350000</v>
      </c>
      <c r="K5" s="30">
        <f t="shared" si="1"/>
        <v>1450000</v>
      </c>
      <c r="L5" s="13" t="s">
        <v>89</v>
      </c>
    </row>
    <row r="6" ht="15.0" customHeight="1">
      <c r="A6" s="13" t="s">
        <v>100</v>
      </c>
      <c r="B6" s="14">
        <v>46249.0</v>
      </c>
      <c r="C6" s="16" t="s">
        <v>101</v>
      </c>
      <c r="D6" s="16" t="s">
        <v>102</v>
      </c>
      <c r="E6" s="13">
        <f>COUNTIF('4. Chi tiết Sự kiện'!$A$4:$A$103, A6)</f>
        <v>6</v>
      </c>
      <c r="F6" s="13">
        <f>COUNTIFS('4. Chi tiết Sự kiện'!$A$4:$A$103, A6, '4. Chi tiết Sự kiện'!$E$4:$E$103, "Khách mời")</f>
        <v>3</v>
      </c>
      <c r="G6" s="13">
        <f>COUNTIFS('4. Chi tiết Sự kiện'!$A$4:$A$103, A6, '4. Chi tiết Sự kiện'!$E$4:$E$103, "Khách mời", '4. Chi tiết Sự kiện'!$H$4:$H$103, "Có")</f>
        <v>3</v>
      </c>
      <c r="H6" s="13">
        <f>COUNTIFS('4. Chi tiết Sự kiện'!$A$4:$A$103, A6, '4. Chi tiết Sự kiện'!$E$4:$E$103, "Khách mời", '4. Chi tiết Sự kiện'!$H$4:$H$103, "Không")</f>
        <v>0</v>
      </c>
      <c r="I6" s="24">
        <f>SUMIFS('4. Chi tiết Sự kiện'!$M$4:$M$103, '4. Chi tiết Sự kiện'!$A$4:$A$103, A6)</f>
        <v>800000</v>
      </c>
      <c r="J6" s="28">
        <f>SUMIFS('4. Chi tiết Sự kiện'!$K$4:$K$103, '4. Chi tiết Sự kiện'!$A$4:$A$103, A6)</f>
        <v>300000</v>
      </c>
      <c r="K6" s="30">
        <f t="shared" si="1"/>
        <v>1100000</v>
      </c>
      <c r="L6" s="13" t="s">
        <v>89</v>
      </c>
    </row>
    <row r="7" ht="15.0" customHeight="1">
      <c r="A7" s="13" t="s">
        <v>111</v>
      </c>
      <c r="B7" s="14">
        <v>46254.0</v>
      </c>
      <c r="C7" s="16" t="s">
        <v>112</v>
      </c>
      <c r="D7" s="16" t="s">
        <v>102</v>
      </c>
      <c r="E7" s="13">
        <f>COUNTIF('4. Chi tiết Sự kiện'!$A$4:$A$103, A7)</f>
        <v>0</v>
      </c>
      <c r="F7" s="13">
        <f>COUNTIFS('4. Chi tiết Sự kiện'!$A$4:$A$103, A7, '4. Chi tiết Sự kiện'!$E$4:$E$103, "Khách mời")</f>
        <v>0</v>
      </c>
      <c r="G7" s="13">
        <f>COUNTIFS('4. Chi tiết Sự kiện'!$A$4:$A$103, A7, '4. Chi tiết Sự kiện'!$E$4:$E$103, "Khách mời", '4. Chi tiết Sự kiện'!$H$4:$H$103, "Có")</f>
        <v>0</v>
      </c>
      <c r="H7" s="13">
        <f>COUNTIFS('4. Chi tiết Sự kiện'!$A$4:$A$103, A7, '4. Chi tiết Sự kiện'!$E$4:$E$103, "Khách mời", '4. Chi tiết Sự kiện'!$H$4:$H$103, "Không")</f>
        <v>0</v>
      </c>
      <c r="I7" s="24">
        <f>SUMIFS('4. Chi tiết Sự kiện'!$M$4:$M$103, '4. Chi tiết Sự kiện'!$A$4:$A$103, A7)</f>
        <v>0</v>
      </c>
      <c r="J7" s="28">
        <f>SUMIFS('4. Chi tiết Sự kiện'!$K$4:$K$103, '4. Chi tiết Sự kiện'!$A$4:$A$103, A7)</f>
        <v>0</v>
      </c>
      <c r="K7" s="30">
        <f t="shared" si="1"/>
        <v>0</v>
      </c>
      <c r="L7" s="13" t="s">
        <v>126</v>
      </c>
    </row>
    <row r="8" ht="15.0" customHeight="1">
      <c r="A8" s="13" t="s">
        <v>127</v>
      </c>
      <c r="B8" s="14">
        <v>46256.0</v>
      </c>
      <c r="C8" s="16" t="s">
        <v>112</v>
      </c>
      <c r="D8" s="16" t="s">
        <v>102</v>
      </c>
      <c r="E8" s="13">
        <f>COUNTIF('4. Chi tiết Sự kiện'!$A$4:$A$103, A8)</f>
        <v>0</v>
      </c>
      <c r="F8" s="13">
        <f>COUNTIFS('4. Chi tiết Sự kiện'!$A$4:$A$103, A8, '4. Chi tiết Sự kiện'!$E$4:$E$103, "Khách mời")</f>
        <v>0</v>
      </c>
      <c r="G8" s="13">
        <f>COUNTIFS('4. Chi tiết Sự kiện'!$A$4:$A$103, A8, '4. Chi tiết Sự kiện'!$E$4:$E$103, "Khách mời", '4. Chi tiết Sự kiện'!$H$4:$H$103, "Có")</f>
        <v>0</v>
      </c>
      <c r="H8" s="13">
        <f>COUNTIFS('4. Chi tiết Sự kiện'!$A$4:$A$103, A8, '4. Chi tiết Sự kiện'!$E$4:$E$103, "Khách mời", '4. Chi tiết Sự kiện'!$H$4:$H$103, "Không")</f>
        <v>0</v>
      </c>
      <c r="I8" s="24">
        <f>SUMIFS('4. Chi tiết Sự kiện'!$M$4:$M$103, '4. Chi tiết Sự kiện'!$A$4:$A$103, A8)</f>
        <v>0</v>
      </c>
      <c r="J8" s="28">
        <f>SUMIFS('4. Chi tiết Sự kiện'!$K$4:$K$103, '4. Chi tiết Sự kiện'!$A$4:$A$103, A8)</f>
        <v>0</v>
      </c>
      <c r="K8" s="30">
        <f t="shared" si="1"/>
        <v>0</v>
      </c>
      <c r="L8" s="13" t="s">
        <v>126</v>
      </c>
    </row>
    <row r="9" ht="15.0" customHeight="1">
      <c r="A9" s="13" t="s">
        <v>132</v>
      </c>
      <c r="B9" s="14">
        <v>46259.0</v>
      </c>
      <c r="C9" s="16" t="s">
        <v>112</v>
      </c>
      <c r="D9" s="16" t="s">
        <v>102</v>
      </c>
      <c r="E9" s="13">
        <f>COUNTIF('4. Chi tiết Sự kiện'!$A$4:$A$103, A9)</f>
        <v>0</v>
      </c>
      <c r="F9" s="13">
        <f>COUNTIFS('4. Chi tiết Sự kiện'!$A$4:$A$103, A9, '4. Chi tiết Sự kiện'!$E$4:$E$103, "Khách mời")</f>
        <v>0</v>
      </c>
      <c r="G9" s="13">
        <f>COUNTIFS('4. Chi tiết Sự kiện'!$A$4:$A$103, A9, '4. Chi tiết Sự kiện'!$E$4:$E$103, "Khách mời", '4. Chi tiết Sự kiện'!$H$4:$H$103, "Có")</f>
        <v>0</v>
      </c>
      <c r="H9" s="13">
        <f>COUNTIFS('4. Chi tiết Sự kiện'!$A$4:$A$103, A9, '4. Chi tiết Sự kiện'!$E$4:$E$103, "Khách mời", '4. Chi tiết Sự kiện'!$H$4:$H$103, "Không")</f>
        <v>0</v>
      </c>
      <c r="I9" s="24">
        <f>SUMIFS('4. Chi tiết Sự kiện'!$M$4:$M$103, '4. Chi tiết Sự kiện'!$A$4:$A$103, A9)</f>
        <v>0</v>
      </c>
      <c r="J9" s="28">
        <f>SUMIFS('4. Chi tiết Sự kiện'!$K$4:$K$103, '4. Chi tiết Sự kiện'!$A$4:$A$103, A9)</f>
        <v>0</v>
      </c>
      <c r="K9" s="30">
        <f t="shared" si="1"/>
        <v>0</v>
      </c>
      <c r="L9" s="13" t="s">
        <v>126</v>
      </c>
    </row>
    <row r="10" ht="15.0" customHeight="1">
      <c r="A10" s="13" t="s">
        <v>137</v>
      </c>
      <c r="B10" s="14">
        <v>46262.0</v>
      </c>
      <c r="C10" s="16" t="s">
        <v>112</v>
      </c>
      <c r="D10" s="16" t="s">
        <v>102</v>
      </c>
      <c r="E10" s="13">
        <f>COUNTIF('4. Chi tiết Sự kiện'!$A$4:$A$103, A10)</f>
        <v>0</v>
      </c>
      <c r="F10" s="13">
        <f>COUNTIFS('4. Chi tiết Sự kiện'!$A$4:$A$103, A10, '4. Chi tiết Sự kiện'!$E$4:$E$103, "Khách mời")</f>
        <v>0</v>
      </c>
      <c r="G10" s="13">
        <f>COUNTIFS('4. Chi tiết Sự kiện'!$A$4:$A$103, A10, '4. Chi tiết Sự kiện'!$E$4:$E$103, "Khách mời", '4. Chi tiết Sự kiện'!$H$4:$H$103, "Có")</f>
        <v>0</v>
      </c>
      <c r="H10" s="13">
        <f>COUNTIFS('4. Chi tiết Sự kiện'!$A$4:$A$103, A10, '4. Chi tiết Sự kiện'!$E$4:$E$103, "Khách mời", '4. Chi tiết Sự kiện'!$H$4:$H$103, "Không")</f>
        <v>0</v>
      </c>
      <c r="I10" s="24">
        <f>SUMIFS('4. Chi tiết Sự kiện'!$M$4:$M$103, '4. Chi tiết Sự kiện'!$A$4:$A$103, A10)</f>
        <v>0</v>
      </c>
      <c r="J10" s="28">
        <f>SUMIFS('4. Chi tiết Sự kiện'!$K$4:$K$103, '4. Chi tiết Sự kiện'!$A$4:$A$103, A10)</f>
        <v>0</v>
      </c>
      <c r="K10" s="30">
        <f t="shared" si="1"/>
        <v>0</v>
      </c>
      <c r="L10" s="13" t="s">
        <v>126</v>
      </c>
    </row>
    <row r="11" ht="15.0" customHeight="1">
      <c r="A11" s="49" t="s">
        <v>142</v>
      </c>
      <c r="B11" s="50"/>
      <c r="C11" s="51"/>
      <c r="D11" s="51"/>
      <c r="E11" s="49">
        <f t="shared" ref="E11:K11" si="2">SUM(E4:E10)</f>
        <v>21</v>
      </c>
      <c r="F11" s="49">
        <f t="shared" si="2"/>
        <v>8</v>
      </c>
      <c r="G11" s="49">
        <f t="shared" si="2"/>
        <v>8</v>
      </c>
      <c r="H11" s="49">
        <f t="shared" si="2"/>
        <v>0</v>
      </c>
      <c r="I11" s="52">
        <f t="shared" si="2"/>
        <v>3000000</v>
      </c>
      <c r="J11" s="53">
        <f t="shared" si="2"/>
        <v>1000000</v>
      </c>
      <c r="K11" s="52">
        <f t="shared" si="2"/>
        <v>4000000</v>
      </c>
      <c r="L11" s="50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</row>
  </sheetData>
  <mergeCells count="1">
    <mergeCell ref="A1:L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2.0"/>
    <col customWidth="1" min="3" max="3" width="14.0"/>
    <col customWidth="1" min="4" max="4" width="27.0"/>
    <col customWidth="1" min="5" max="5" width="19.0"/>
    <col customWidth="1" min="6" max="6" width="20.0"/>
    <col customWidth="1" min="7" max="7" width="19.0"/>
    <col customWidth="1" min="8" max="8" width="22.14"/>
    <col customWidth="1" min="9" max="9" width="29.0"/>
    <col customWidth="1" min="10" max="10" width="38.0"/>
    <col customWidth="1" min="11" max="11" width="32.0"/>
    <col customWidth="1" min="12" max="12" width="31.0"/>
    <col customWidth="1" min="13" max="13" width="24.0"/>
    <col customWidth="1" min="14" max="26" width="8.57"/>
  </cols>
  <sheetData>
    <row r="1" ht="34.5" customHeight="1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27.75" customHeight="1">
      <c r="A3" s="10" t="s">
        <v>5</v>
      </c>
      <c r="B3" s="10" t="s">
        <v>6</v>
      </c>
      <c r="C3" s="10" t="s">
        <v>7</v>
      </c>
      <c r="D3" s="10" t="s">
        <v>10</v>
      </c>
      <c r="E3" s="10" t="s">
        <v>11</v>
      </c>
      <c r="F3" s="10" t="s">
        <v>13</v>
      </c>
      <c r="G3" s="10" t="s">
        <v>14</v>
      </c>
      <c r="H3" s="10" t="s">
        <v>16</v>
      </c>
      <c r="I3" s="10" t="s">
        <v>18</v>
      </c>
      <c r="J3" s="10" t="s">
        <v>20</v>
      </c>
      <c r="K3" s="10" t="s">
        <v>21</v>
      </c>
      <c r="L3" s="10" t="s">
        <v>24</v>
      </c>
      <c r="M3" s="10" t="s">
        <v>26</v>
      </c>
    </row>
    <row r="4" ht="15.0" customHeight="1">
      <c r="A4" s="13" t="s">
        <v>30</v>
      </c>
      <c r="B4" s="14">
        <v>46235.0</v>
      </c>
      <c r="C4" s="13" t="s">
        <v>33</v>
      </c>
      <c r="D4" s="16" t="s">
        <v>34</v>
      </c>
      <c r="E4" s="16" t="s">
        <v>36</v>
      </c>
      <c r="F4" s="13"/>
      <c r="G4" s="16"/>
      <c r="H4" s="13" t="s">
        <v>55</v>
      </c>
      <c r="I4" s="13">
        <f t="shared" ref="I4:I24" si="1">IF(AND(E4="Khách mời", H4="Có"), COUNTIFS($C$4:C4, C4, $E$4:E4, "Khách mời", $H$4:H4, "Có"), 0)</f>
        <v>0</v>
      </c>
      <c r="J4" s="16" t="s">
        <v>76</v>
      </c>
      <c r="K4" s="24">
        <f t="shared" ref="K4:K24" si="2">IF(H4="Có", IF(E4&lt;&gt;"Khách mời", 50000, IF(I4&lt;=5, 50000, IF(J4="Có", 50000, 0))), 0)</f>
        <v>50000</v>
      </c>
      <c r="L4" s="24">
        <f t="shared" ref="L4:L24" si="3">IF(AND(H4="Có", E4="Khách mời", I4&gt;5, J4&lt;&gt;"Có"), 50000, 0)</f>
        <v>0</v>
      </c>
      <c r="M4" s="24">
        <f t="shared" ref="M4:M103" si="4">IF(E4="MC", 200000/COUNTIFS($A$4:$A$103, A4, $E$4:$E$103, "MC"), IF(E4="Phụng sự", 300000/COUNTIFS($A$4:$A$103, A4, $E$4:$E$103, "Phụng sự"), IF(E4="Thuyết trình", 300000/COUNTIFS($A$4:$A$103, A4, $E$4:$E$103, "Thuyết trình"), IF(E4="Chốt sự kiện", 300000/COUNTIFS($A$4:$A$103, A4, $E$4:$E$103, "Chốt sự kiện"), 0))))</f>
        <v>100000</v>
      </c>
    </row>
    <row r="5" ht="15.0" customHeight="1">
      <c r="A5" s="13" t="s">
        <v>30</v>
      </c>
      <c r="B5" s="14">
        <v>46235.0</v>
      </c>
      <c r="C5" s="13" t="s">
        <v>98</v>
      </c>
      <c r="D5" s="16" t="s">
        <v>99</v>
      </c>
      <c r="E5" s="16" t="s">
        <v>36</v>
      </c>
      <c r="F5" s="13"/>
      <c r="G5" s="16"/>
      <c r="H5" s="13" t="s">
        <v>76</v>
      </c>
      <c r="I5" s="13">
        <f t="shared" si="1"/>
        <v>0</v>
      </c>
      <c r="J5" s="16" t="s">
        <v>76</v>
      </c>
      <c r="K5" s="24">
        <f t="shared" si="2"/>
        <v>0</v>
      </c>
      <c r="L5" s="24">
        <f t="shared" si="3"/>
        <v>0</v>
      </c>
      <c r="M5" s="24">
        <f t="shared" si="4"/>
        <v>100000</v>
      </c>
    </row>
    <row r="6" ht="15.0" customHeight="1">
      <c r="A6" s="13" t="s">
        <v>30</v>
      </c>
      <c r="B6" s="14">
        <v>46235.0</v>
      </c>
      <c r="C6" s="13" t="s">
        <v>103</v>
      </c>
      <c r="D6" s="16" t="s">
        <v>104</v>
      </c>
      <c r="E6" s="16" t="s">
        <v>105</v>
      </c>
      <c r="F6" s="13"/>
      <c r="G6" s="16"/>
      <c r="H6" s="13" t="s">
        <v>55</v>
      </c>
      <c r="I6" s="13">
        <f t="shared" si="1"/>
        <v>0</v>
      </c>
      <c r="J6" s="16" t="s">
        <v>76</v>
      </c>
      <c r="K6" s="24">
        <f t="shared" si="2"/>
        <v>50000</v>
      </c>
      <c r="L6" s="24">
        <f t="shared" si="3"/>
        <v>0</v>
      </c>
      <c r="M6" s="24">
        <f t="shared" si="4"/>
        <v>300000</v>
      </c>
    </row>
    <row r="7" ht="15.0" customHeight="1">
      <c r="A7" s="13" t="s">
        <v>30</v>
      </c>
      <c r="B7" s="14">
        <v>46235.0</v>
      </c>
      <c r="C7" s="13" t="s">
        <v>108</v>
      </c>
      <c r="D7" s="16" t="s">
        <v>109</v>
      </c>
      <c r="E7" s="16" t="s">
        <v>110</v>
      </c>
      <c r="F7" s="13"/>
      <c r="G7" s="16"/>
      <c r="H7" s="13" t="s">
        <v>55</v>
      </c>
      <c r="I7" s="13">
        <f t="shared" si="1"/>
        <v>0</v>
      </c>
      <c r="J7" s="16" t="s">
        <v>76</v>
      </c>
      <c r="K7" s="24">
        <f t="shared" si="2"/>
        <v>50000</v>
      </c>
      <c r="L7" s="24">
        <f t="shared" si="3"/>
        <v>0</v>
      </c>
      <c r="M7" s="24">
        <f t="shared" si="4"/>
        <v>150000</v>
      </c>
    </row>
    <row r="8" ht="15.0" customHeight="1">
      <c r="A8" s="13" t="s">
        <v>30</v>
      </c>
      <c r="B8" s="14">
        <v>46235.0</v>
      </c>
      <c r="C8" s="13" t="s">
        <v>113</v>
      </c>
      <c r="D8" s="16" t="s">
        <v>114</v>
      </c>
      <c r="E8" s="16" t="s">
        <v>110</v>
      </c>
      <c r="F8" s="13"/>
      <c r="G8" s="16"/>
      <c r="H8" s="13" t="s">
        <v>55</v>
      </c>
      <c r="I8" s="13">
        <f t="shared" si="1"/>
        <v>0</v>
      </c>
      <c r="J8" s="16" t="s">
        <v>76</v>
      </c>
      <c r="K8" s="24">
        <f t="shared" si="2"/>
        <v>50000</v>
      </c>
      <c r="L8" s="24">
        <f t="shared" si="3"/>
        <v>0</v>
      </c>
      <c r="M8" s="24">
        <f t="shared" si="4"/>
        <v>150000</v>
      </c>
    </row>
    <row r="9" ht="15.0" customHeight="1">
      <c r="A9" s="13" t="s">
        <v>30</v>
      </c>
      <c r="B9" s="14">
        <v>46235.0</v>
      </c>
      <c r="C9" s="13" t="s">
        <v>118</v>
      </c>
      <c r="D9" s="16" t="s">
        <v>119</v>
      </c>
      <c r="E9" s="16" t="s">
        <v>120</v>
      </c>
      <c r="F9" s="13" t="s">
        <v>33</v>
      </c>
      <c r="G9" s="16" t="s">
        <v>34</v>
      </c>
      <c r="H9" s="13" t="s">
        <v>55</v>
      </c>
      <c r="I9" s="13">
        <f t="shared" si="1"/>
        <v>1</v>
      </c>
      <c r="J9" s="16" t="s">
        <v>76</v>
      </c>
      <c r="K9" s="24">
        <f t="shared" si="2"/>
        <v>50000</v>
      </c>
      <c r="L9" s="24">
        <f t="shared" si="3"/>
        <v>0</v>
      </c>
      <c r="M9" s="24">
        <f t="shared" si="4"/>
        <v>0</v>
      </c>
    </row>
    <row r="10" ht="15.0" customHeight="1">
      <c r="A10" s="13" t="s">
        <v>30</v>
      </c>
      <c r="B10" s="14">
        <v>46235.0</v>
      </c>
      <c r="C10" s="13" t="s">
        <v>123</v>
      </c>
      <c r="D10" s="16" t="s">
        <v>124</v>
      </c>
      <c r="E10" s="16" t="s">
        <v>120</v>
      </c>
      <c r="F10" s="13" t="s">
        <v>98</v>
      </c>
      <c r="G10" s="16" t="s">
        <v>99</v>
      </c>
      <c r="H10" s="13" t="s">
        <v>55</v>
      </c>
      <c r="I10" s="13">
        <f t="shared" si="1"/>
        <v>1</v>
      </c>
      <c r="J10" s="16" t="s">
        <v>76</v>
      </c>
      <c r="K10" s="24">
        <f t="shared" si="2"/>
        <v>50000</v>
      </c>
      <c r="L10" s="24">
        <f t="shared" si="3"/>
        <v>0</v>
      </c>
      <c r="M10" s="24">
        <f t="shared" si="4"/>
        <v>0</v>
      </c>
    </row>
    <row r="11" ht="15.0" customHeight="1">
      <c r="A11" s="13" t="s">
        <v>30</v>
      </c>
      <c r="B11" s="14">
        <v>46235.0</v>
      </c>
      <c r="C11" s="13" t="s">
        <v>129</v>
      </c>
      <c r="D11" s="16" t="s">
        <v>130</v>
      </c>
      <c r="E11" s="16" t="s">
        <v>131</v>
      </c>
      <c r="F11" s="13" t="s">
        <v>98</v>
      </c>
      <c r="G11" s="16" t="s">
        <v>99</v>
      </c>
      <c r="H11" s="13" t="s">
        <v>55</v>
      </c>
      <c r="I11" s="13">
        <f t="shared" si="1"/>
        <v>0</v>
      </c>
      <c r="J11" s="16" t="s">
        <v>76</v>
      </c>
      <c r="K11" s="24">
        <f t="shared" si="2"/>
        <v>50000</v>
      </c>
      <c r="L11" s="24">
        <f t="shared" si="3"/>
        <v>0</v>
      </c>
      <c r="M11" s="24">
        <f t="shared" si="4"/>
        <v>300000</v>
      </c>
    </row>
    <row r="12" ht="15.0" customHeight="1">
      <c r="A12" s="13" t="s">
        <v>90</v>
      </c>
      <c r="B12" s="14">
        <v>46242.0</v>
      </c>
      <c r="C12" s="13" t="s">
        <v>33</v>
      </c>
      <c r="D12" s="16" t="s">
        <v>34</v>
      </c>
      <c r="E12" s="16" t="s">
        <v>36</v>
      </c>
      <c r="F12" s="13"/>
      <c r="G12" s="16"/>
      <c r="H12" s="13" t="s">
        <v>55</v>
      </c>
      <c r="I12" s="13">
        <f t="shared" si="1"/>
        <v>0</v>
      </c>
      <c r="J12" s="16" t="s">
        <v>76</v>
      </c>
      <c r="K12" s="24">
        <f t="shared" si="2"/>
        <v>50000</v>
      </c>
      <c r="L12" s="24">
        <f t="shared" si="3"/>
        <v>0</v>
      </c>
      <c r="M12" s="24">
        <f t="shared" si="4"/>
        <v>200000</v>
      </c>
    </row>
    <row r="13" ht="15.0" customHeight="1">
      <c r="A13" s="13" t="s">
        <v>90</v>
      </c>
      <c r="B13" s="14">
        <v>46242.0</v>
      </c>
      <c r="C13" s="13" t="s">
        <v>98</v>
      </c>
      <c r="D13" s="16" t="s">
        <v>99</v>
      </c>
      <c r="E13" s="16" t="s">
        <v>105</v>
      </c>
      <c r="F13" s="13"/>
      <c r="G13" s="16"/>
      <c r="H13" s="13" t="s">
        <v>55</v>
      </c>
      <c r="I13" s="13">
        <f t="shared" si="1"/>
        <v>0</v>
      </c>
      <c r="J13" s="16" t="s">
        <v>76</v>
      </c>
      <c r="K13" s="24">
        <f t="shared" si="2"/>
        <v>50000</v>
      </c>
      <c r="L13" s="24">
        <f t="shared" si="3"/>
        <v>0</v>
      </c>
      <c r="M13" s="24">
        <f t="shared" si="4"/>
        <v>300000</v>
      </c>
    </row>
    <row r="14" ht="15.0" customHeight="1">
      <c r="A14" s="13" t="s">
        <v>90</v>
      </c>
      <c r="B14" s="14">
        <v>46242.0</v>
      </c>
      <c r="C14" s="13" t="s">
        <v>103</v>
      </c>
      <c r="D14" s="16" t="s">
        <v>104</v>
      </c>
      <c r="E14" s="16" t="s">
        <v>131</v>
      </c>
      <c r="F14" s="13"/>
      <c r="G14" s="16"/>
      <c r="H14" s="13" t="s">
        <v>55</v>
      </c>
      <c r="I14" s="13">
        <f t="shared" si="1"/>
        <v>0</v>
      </c>
      <c r="J14" s="16" t="s">
        <v>76</v>
      </c>
      <c r="K14" s="24">
        <f t="shared" si="2"/>
        <v>50000</v>
      </c>
      <c r="L14" s="24">
        <f t="shared" si="3"/>
        <v>0</v>
      </c>
      <c r="M14" s="24">
        <f t="shared" si="4"/>
        <v>300000</v>
      </c>
    </row>
    <row r="15" ht="15.0" customHeight="1">
      <c r="A15" s="13" t="s">
        <v>90</v>
      </c>
      <c r="B15" s="14">
        <v>46242.0</v>
      </c>
      <c r="C15" s="13" t="s">
        <v>108</v>
      </c>
      <c r="D15" s="16" t="s">
        <v>109</v>
      </c>
      <c r="E15" s="16" t="s">
        <v>110</v>
      </c>
      <c r="F15" s="13"/>
      <c r="G15" s="16"/>
      <c r="H15" s="13" t="s">
        <v>55</v>
      </c>
      <c r="I15" s="13">
        <f t="shared" si="1"/>
        <v>0</v>
      </c>
      <c r="J15" s="16" t="s">
        <v>76</v>
      </c>
      <c r="K15" s="24">
        <f t="shared" si="2"/>
        <v>50000</v>
      </c>
      <c r="L15" s="24">
        <f t="shared" si="3"/>
        <v>0</v>
      </c>
      <c r="M15" s="24">
        <f t="shared" si="4"/>
        <v>300000</v>
      </c>
    </row>
    <row r="16" ht="15.0" customHeight="1">
      <c r="A16" s="13" t="s">
        <v>90</v>
      </c>
      <c r="B16" s="14">
        <v>46242.0</v>
      </c>
      <c r="C16" s="13" t="s">
        <v>118</v>
      </c>
      <c r="D16" s="16" t="s">
        <v>119</v>
      </c>
      <c r="E16" s="16" t="s">
        <v>120</v>
      </c>
      <c r="F16" s="13" t="s">
        <v>33</v>
      </c>
      <c r="G16" s="16" t="s">
        <v>34</v>
      </c>
      <c r="H16" s="13" t="s">
        <v>55</v>
      </c>
      <c r="I16" s="13">
        <f t="shared" si="1"/>
        <v>2</v>
      </c>
      <c r="J16" s="16" t="s">
        <v>76</v>
      </c>
      <c r="K16" s="24">
        <f t="shared" si="2"/>
        <v>50000</v>
      </c>
      <c r="L16" s="24">
        <f t="shared" si="3"/>
        <v>0</v>
      </c>
      <c r="M16" s="24">
        <f t="shared" si="4"/>
        <v>0</v>
      </c>
    </row>
    <row r="17" ht="15.0" customHeight="1">
      <c r="A17" s="13" t="s">
        <v>90</v>
      </c>
      <c r="B17" s="14">
        <v>46242.0</v>
      </c>
      <c r="C17" s="13" t="s">
        <v>123</v>
      </c>
      <c r="D17" s="16" t="s">
        <v>124</v>
      </c>
      <c r="E17" s="16" t="s">
        <v>120</v>
      </c>
      <c r="F17" s="13" t="s">
        <v>98</v>
      </c>
      <c r="G17" s="16" t="s">
        <v>99</v>
      </c>
      <c r="H17" s="13" t="s">
        <v>55</v>
      </c>
      <c r="I17" s="13">
        <f t="shared" si="1"/>
        <v>2</v>
      </c>
      <c r="J17" s="16" t="s">
        <v>76</v>
      </c>
      <c r="K17" s="24">
        <f t="shared" si="2"/>
        <v>50000</v>
      </c>
      <c r="L17" s="24">
        <f t="shared" si="3"/>
        <v>0</v>
      </c>
      <c r="M17" s="24">
        <f t="shared" si="4"/>
        <v>0</v>
      </c>
    </row>
    <row r="18" ht="15.0" customHeight="1">
      <c r="A18" s="13" t="s">
        <v>90</v>
      </c>
      <c r="B18" s="14">
        <v>46242.0</v>
      </c>
      <c r="C18" s="13" t="s">
        <v>140</v>
      </c>
      <c r="D18" s="16" t="s">
        <v>141</v>
      </c>
      <c r="E18" s="16" t="s">
        <v>120</v>
      </c>
      <c r="F18" s="13" t="s">
        <v>98</v>
      </c>
      <c r="G18" s="16" t="s">
        <v>99</v>
      </c>
      <c r="H18" s="13" t="s">
        <v>55</v>
      </c>
      <c r="I18" s="13">
        <f t="shared" si="1"/>
        <v>1</v>
      </c>
      <c r="J18" s="16" t="s">
        <v>76</v>
      </c>
      <c r="K18" s="24">
        <f t="shared" si="2"/>
        <v>50000</v>
      </c>
      <c r="L18" s="24">
        <f t="shared" si="3"/>
        <v>0</v>
      </c>
      <c r="M18" s="24">
        <f t="shared" si="4"/>
        <v>0</v>
      </c>
    </row>
    <row r="19" ht="15.0" customHeight="1">
      <c r="A19" s="13" t="s">
        <v>100</v>
      </c>
      <c r="B19" s="14">
        <v>46249.0</v>
      </c>
      <c r="C19" s="13" t="s">
        <v>33</v>
      </c>
      <c r="D19" s="16" t="s">
        <v>34</v>
      </c>
      <c r="E19" s="16" t="s">
        <v>36</v>
      </c>
      <c r="F19" s="13"/>
      <c r="G19" s="16"/>
      <c r="H19" s="13" t="s">
        <v>55</v>
      </c>
      <c r="I19" s="13">
        <f t="shared" si="1"/>
        <v>0</v>
      </c>
      <c r="J19" s="16" t="s">
        <v>76</v>
      </c>
      <c r="K19" s="24">
        <f t="shared" si="2"/>
        <v>50000</v>
      </c>
      <c r="L19" s="24">
        <f t="shared" si="3"/>
        <v>0</v>
      </c>
      <c r="M19" s="24">
        <f t="shared" si="4"/>
        <v>200000</v>
      </c>
    </row>
    <row r="20" ht="15.0" customHeight="1">
      <c r="A20" s="13" t="s">
        <v>100</v>
      </c>
      <c r="B20" s="14">
        <v>46249.0</v>
      </c>
      <c r="C20" s="13" t="s">
        <v>113</v>
      </c>
      <c r="D20" s="16" t="s">
        <v>114</v>
      </c>
      <c r="E20" s="16" t="s">
        <v>105</v>
      </c>
      <c r="F20" s="13"/>
      <c r="G20" s="16"/>
      <c r="H20" s="13" t="s">
        <v>55</v>
      </c>
      <c r="I20" s="13">
        <f t="shared" si="1"/>
        <v>0</v>
      </c>
      <c r="J20" s="16" t="s">
        <v>76</v>
      </c>
      <c r="K20" s="24">
        <f t="shared" si="2"/>
        <v>50000</v>
      </c>
      <c r="L20" s="24">
        <f t="shared" si="3"/>
        <v>0</v>
      </c>
      <c r="M20" s="24">
        <f t="shared" si="4"/>
        <v>300000</v>
      </c>
    </row>
    <row r="21" ht="15.0" customHeight="1">
      <c r="A21" s="13" t="s">
        <v>100</v>
      </c>
      <c r="B21" s="14">
        <v>46249.0</v>
      </c>
      <c r="C21" s="13" t="s">
        <v>118</v>
      </c>
      <c r="D21" s="16" t="s">
        <v>119</v>
      </c>
      <c r="E21" s="16" t="s">
        <v>120</v>
      </c>
      <c r="F21" s="13" t="s">
        <v>33</v>
      </c>
      <c r="G21" s="16" t="s">
        <v>34</v>
      </c>
      <c r="H21" s="13" t="s">
        <v>55</v>
      </c>
      <c r="I21" s="13">
        <f t="shared" si="1"/>
        <v>3</v>
      </c>
      <c r="J21" s="16" t="s">
        <v>76</v>
      </c>
      <c r="K21" s="24">
        <f t="shared" si="2"/>
        <v>50000</v>
      </c>
      <c r="L21" s="24">
        <f t="shared" si="3"/>
        <v>0</v>
      </c>
      <c r="M21" s="24">
        <f t="shared" si="4"/>
        <v>0</v>
      </c>
    </row>
    <row r="22" ht="15.0" customHeight="1">
      <c r="A22" s="13" t="s">
        <v>100</v>
      </c>
      <c r="B22" s="14">
        <v>46249.0</v>
      </c>
      <c r="C22" s="13" t="s">
        <v>123</v>
      </c>
      <c r="D22" s="16" t="s">
        <v>124</v>
      </c>
      <c r="E22" s="16" t="s">
        <v>120</v>
      </c>
      <c r="F22" s="13" t="s">
        <v>98</v>
      </c>
      <c r="G22" s="16" t="s">
        <v>99</v>
      </c>
      <c r="H22" s="13" t="s">
        <v>55</v>
      </c>
      <c r="I22" s="13">
        <f t="shared" si="1"/>
        <v>3</v>
      </c>
      <c r="J22" s="16" t="s">
        <v>76</v>
      </c>
      <c r="K22" s="24">
        <f t="shared" si="2"/>
        <v>50000</v>
      </c>
      <c r="L22" s="24">
        <f t="shared" si="3"/>
        <v>0</v>
      </c>
      <c r="M22" s="24">
        <f t="shared" si="4"/>
        <v>0</v>
      </c>
    </row>
    <row r="23" ht="15.0" customHeight="1">
      <c r="A23" s="13" t="s">
        <v>100</v>
      </c>
      <c r="B23" s="14">
        <v>46249.0</v>
      </c>
      <c r="C23" s="13" t="s">
        <v>151</v>
      </c>
      <c r="D23" s="16" t="s">
        <v>152</v>
      </c>
      <c r="E23" s="16" t="s">
        <v>120</v>
      </c>
      <c r="F23" s="13" t="s">
        <v>33</v>
      </c>
      <c r="G23" s="16" t="s">
        <v>34</v>
      </c>
      <c r="H23" s="13" t="s">
        <v>55</v>
      </c>
      <c r="I23" s="13">
        <f t="shared" si="1"/>
        <v>1</v>
      </c>
      <c r="J23" s="16" t="s">
        <v>76</v>
      </c>
      <c r="K23" s="24">
        <f t="shared" si="2"/>
        <v>50000</v>
      </c>
      <c r="L23" s="24">
        <f t="shared" si="3"/>
        <v>0</v>
      </c>
      <c r="M23" s="24">
        <f t="shared" si="4"/>
        <v>0</v>
      </c>
    </row>
    <row r="24" ht="15.0" customHeight="1">
      <c r="A24" s="57" t="s">
        <v>100</v>
      </c>
      <c r="B24" s="58">
        <v>46249.0</v>
      </c>
      <c r="C24" s="57" t="s">
        <v>98</v>
      </c>
      <c r="D24" s="60" t="s">
        <v>99</v>
      </c>
      <c r="E24" s="57" t="s">
        <v>131</v>
      </c>
      <c r="F24" s="57"/>
      <c r="G24" s="60"/>
      <c r="H24" s="57" t="s">
        <v>55</v>
      </c>
      <c r="I24" s="57">
        <f t="shared" si="1"/>
        <v>0</v>
      </c>
      <c r="J24" s="57" t="s">
        <v>76</v>
      </c>
      <c r="K24" s="62">
        <f t="shared" si="2"/>
        <v>50000</v>
      </c>
      <c r="L24" s="62">
        <f t="shared" si="3"/>
        <v>0</v>
      </c>
      <c r="M24" s="62">
        <f t="shared" si="4"/>
        <v>300000</v>
      </c>
    </row>
    <row r="25" ht="15.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>
        <f t="shared" si="4"/>
        <v>0</v>
      </c>
    </row>
    <row r="26" ht="15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>
        <f t="shared" si="4"/>
        <v>0</v>
      </c>
    </row>
    <row r="27" ht="15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f t="shared" si="4"/>
        <v>0</v>
      </c>
    </row>
    <row r="28" ht="15.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>
        <f t="shared" si="4"/>
        <v>0</v>
      </c>
    </row>
    <row r="29" ht="15.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>
        <f t="shared" si="4"/>
        <v>0</v>
      </c>
    </row>
    <row r="30" ht="15.0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>
        <f t="shared" si="4"/>
        <v>0</v>
      </c>
    </row>
    <row r="31" ht="15.0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>
        <f t="shared" si="4"/>
        <v>0</v>
      </c>
    </row>
    <row r="32" ht="15.0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f t="shared" si="4"/>
        <v>0</v>
      </c>
    </row>
    <row r="33" ht="15.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>
        <f t="shared" si="4"/>
        <v>0</v>
      </c>
    </row>
    <row r="34" ht="15.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f t="shared" si="4"/>
        <v>0</v>
      </c>
    </row>
    <row r="35" ht="15.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>
        <f t="shared" si="4"/>
        <v>0</v>
      </c>
    </row>
    <row r="36" ht="15.0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>
        <f t="shared" si="4"/>
        <v>0</v>
      </c>
    </row>
    <row r="37" ht="15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f t="shared" si="4"/>
        <v>0</v>
      </c>
    </row>
    <row r="38" ht="15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>
        <f t="shared" si="4"/>
        <v>0</v>
      </c>
    </row>
    <row r="39" ht="15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>
        <f t="shared" si="4"/>
        <v>0</v>
      </c>
    </row>
    <row r="40" ht="15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>
        <f t="shared" si="4"/>
        <v>0</v>
      </c>
    </row>
    <row r="41" ht="15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>
        <f t="shared" si="4"/>
        <v>0</v>
      </c>
    </row>
    <row r="42" ht="15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>
        <f t="shared" si="4"/>
        <v>0</v>
      </c>
    </row>
    <row r="43" ht="15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>
        <f t="shared" si="4"/>
        <v>0</v>
      </c>
    </row>
    <row r="44" ht="15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>
        <f t="shared" si="4"/>
        <v>0</v>
      </c>
    </row>
    <row r="45" ht="15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>
        <f t="shared" si="4"/>
        <v>0</v>
      </c>
    </row>
    <row r="46" ht="15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>
        <f t="shared" si="4"/>
        <v>0</v>
      </c>
    </row>
    <row r="47" ht="15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f t="shared" si="4"/>
        <v>0</v>
      </c>
    </row>
    <row r="48" ht="15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>
        <f t="shared" si="4"/>
        <v>0</v>
      </c>
    </row>
    <row r="49" ht="15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>
        <f t="shared" si="4"/>
        <v>0</v>
      </c>
    </row>
    <row r="50" ht="15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>
        <f t="shared" si="4"/>
        <v>0</v>
      </c>
    </row>
    <row r="51" ht="15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>
        <f t="shared" si="4"/>
        <v>0</v>
      </c>
    </row>
    <row r="52" ht="15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>
        <f t="shared" si="4"/>
        <v>0</v>
      </c>
    </row>
    <row r="53" ht="15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>
        <f t="shared" si="4"/>
        <v>0</v>
      </c>
    </row>
    <row r="54" ht="15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>
        <f t="shared" si="4"/>
        <v>0</v>
      </c>
    </row>
    <row r="55" ht="15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>
        <f t="shared" si="4"/>
        <v>0</v>
      </c>
    </row>
    <row r="56" ht="15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>
        <f t="shared" si="4"/>
        <v>0</v>
      </c>
    </row>
    <row r="57" ht="15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>
        <f t="shared" si="4"/>
        <v>0</v>
      </c>
    </row>
    <row r="58" ht="15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>
        <f t="shared" si="4"/>
        <v>0</v>
      </c>
    </row>
    <row r="59" ht="15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>
        <f t="shared" si="4"/>
        <v>0</v>
      </c>
    </row>
    <row r="60" ht="15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>
        <f t="shared" si="4"/>
        <v>0</v>
      </c>
    </row>
    <row r="61" ht="15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>
        <f t="shared" si="4"/>
        <v>0</v>
      </c>
    </row>
    <row r="62" ht="15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>
        <f t="shared" si="4"/>
        <v>0</v>
      </c>
    </row>
    <row r="63" ht="15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>
        <f t="shared" si="4"/>
        <v>0</v>
      </c>
    </row>
    <row r="64" ht="15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>
        <f t="shared" si="4"/>
        <v>0</v>
      </c>
    </row>
    <row r="65" ht="15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>
        <f t="shared" si="4"/>
        <v>0</v>
      </c>
    </row>
    <row r="66" ht="15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>
        <f t="shared" si="4"/>
        <v>0</v>
      </c>
    </row>
    <row r="67" ht="15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f t="shared" si="4"/>
        <v>0</v>
      </c>
    </row>
    <row r="68" ht="15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>
        <f t="shared" si="4"/>
        <v>0</v>
      </c>
    </row>
    <row r="69" ht="15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>
        <f t="shared" si="4"/>
        <v>0</v>
      </c>
    </row>
    <row r="70" ht="15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>
        <f t="shared" si="4"/>
        <v>0</v>
      </c>
    </row>
    <row r="71" ht="15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>
        <f t="shared" si="4"/>
        <v>0</v>
      </c>
    </row>
    <row r="72" ht="15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>
        <f t="shared" si="4"/>
        <v>0</v>
      </c>
    </row>
    <row r="73" ht="15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>
        <f t="shared" si="4"/>
        <v>0</v>
      </c>
    </row>
    <row r="74" ht="15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f t="shared" si="4"/>
        <v>0</v>
      </c>
    </row>
    <row r="75" ht="15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>
        <f t="shared" si="4"/>
        <v>0</v>
      </c>
    </row>
    <row r="76" ht="15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>
        <f t="shared" si="4"/>
        <v>0</v>
      </c>
    </row>
    <row r="77" ht="15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>
        <f t="shared" si="4"/>
        <v>0</v>
      </c>
    </row>
    <row r="78" ht="15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>
        <f t="shared" si="4"/>
        <v>0</v>
      </c>
    </row>
    <row r="79" ht="15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>
        <f t="shared" si="4"/>
        <v>0</v>
      </c>
    </row>
    <row r="80" ht="15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>
        <f t="shared" si="4"/>
        <v>0</v>
      </c>
    </row>
    <row r="81" ht="15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>
        <f t="shared" si="4"/>
        <v>0</v>
      </c>
    </row>
    <row r="82" ht="15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>
        <f t="shared" si="4"/>
        <v>0</v>
      </c>
    </row>
    <row r="83" ht="15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>
        <f t="shared" si="4"/>
        <v>0</v>
      </c>
    </row>
    <row r="84" ht="15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>
        <f t="shared" si="4"/>
        <v>0</v>
      </c>
    </row>
    <row r="85" ht="15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>
        <f t="shared" si="4"/>
        <v>0</v>
      </c>
    </row>
    <row r="86" ht="15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>
        <f t="shared" si="4"/>
        <v>0</v>
      </c>
    </row>
    <row r="87" ht="15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f t="shared" si="4"/>
        <v>0</v>
      </c>
    </row>
    <row r="88" ht="15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>
        <f t="shared" si="4"/>
        <v>0</v>
      </c>
    </row>
    <row r="89" ht="15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>
        <f t="shared" si="4"/>
        <v>0</v>
      </c>
    </row>
    <row r="90" ht="15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>
        <f t="shared" si="4"/>
        <v>0</v>
      </c>
    </row>
    <row r="91" ht="15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f t="shared" si="4"/>
        <v>0</v>
      </c>
    </row>
    <row r="92" ht="15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>
        <f t="shared" si="4"/>
        <v>0</v>
      </c>
    </row>
    <row r="93" ht="15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>
        <f t="shared" si="4"/>
        <v>0</v>
      </c>
    </row>
    <row r="94" ht="15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>
        <f t="shared" si="4"/>
        <v>0</v>
      </c>
    </row>
    <row r="95" ht="15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f t="shared" si="4"/>
        <v>0</v>
      </c>
    </row>
    <row r="96" ht="15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f t="shared" si="4"/>
        <v>0</v>
      </c>
    </row>
    <row r="97" ht="15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>
        <f t="shared" si="4"/>
        <v>0</v>
      </c>
    </row>
    <row r="98" ht="15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>
        <f t="shared" si="4"/>
        <v>0</v>
      </c>
    </row>
    <row r="99" ht="15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>
        <f t="shared" si="4"/>
        <v>0</v>
      </c>
    </row>
    <row r="100" ht="15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>
        <f t="shared" si="4"/>
        <v>0</v>
      </c>
    </row>
    <row r="101" ht="15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>
        <f t="shared" si="4"/>
        <v>0</v>
      </c>
    </row>
    <row r="102" ht="15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>
        <f t="shared" si="4"/>
        <v>0</v>
      </c>
    </row>
    <row r="103" ht="15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>
        <f t="shared" si="4"/>
        <v>0</v>
      </c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</row>
  </sheetData>
  <mergeCells count="1">
    <mergeCell ref="A1:M1"/>
  </mergeCells>
  <dataValidations>
    <dataValidation type="list" allowBlank="1" sqref="H4:H103 J4:J103">
      <formula1>"Có,Không"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2.0"/>
    <col customWidth="1" min="3" max="3" width="30.0"/>
    <col customWidth="1" min="4" max="4" width="25.0"/>
    <col customWidth="1" min="5" max="5" width="30.0"/>
    <col customWidth="1" min="6" max="6" width="20.0"/>
    <col customWidth="1" min="7" max="7" width="27.0"/>
    <col customWidth="1" min="8" max="8" width="26.0"/>
    <col customWidth="1" min="9" max="9" width="23.0"/>
    <col customWidth="1" min="10" max="10" width="22.0"/>
    <col customWidth="1" min="11" max="11" width="32.0"/>
    <col customWidth="1" min="12" max="12" width="38.0"/>
    <col customWidth="1" min="13" max="13" width="36.0"/>
    <col customWidth="1" min="14" max="14" width="13.0"/>
    <col customWidth="1" min="15" max="15" width="45.0"/>
    <col customWidth="1" min="16" max="16" width="11.0"/>
    <col customWidth="1" min="17" max="17" width="45.0"/>
    <col customWidth="1" min="18" max="18" width="17.0"/>
    <col customWidth="1" min="19" max="19" width="24.0"/>
    <col customWidth="1" min="20" max="20" width="28.0"/>
    <col customWidth="1" min="21" max="21" width="30.0"/>
    <col customWidth="1" min="22" max="26" width="8.57"/>
  </cols>
  <sheetData>
    <row r="1" ht="34.5" customHeight="1">
      <c r="A1" s="2" t="s">
        <v>250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6"/>
      <c r="Q1" s="6"/>
      <c r="R1" s="6"/>
      <c r="S1" s="6"/>
      <c r="T1" s="6"/>
      <c r="U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ht="27.75" customHeight="1">
      <c r="A3" s="10" t="s">
        <v>252</v>
      </c>
      <c r="B3" s="10" t="s">
        <v>255</v>
      </c>
      <c r="C3" s="10" t="s">
        <v>257</v>
      </c>
      <c r="D3" s="10" t="s">
        <v>259</v>
      </c>
      <c r="E3" s="10" t="s">
        <v>260</v>
      </c>
      <c r="F3" s="10" t="s">
        <v>261</v>
      </c>
      <c r="G3" s="10" t="s">
        <v>44</v>
      </c>
      <c r="H3" s="10" t="s">
        <v>45</v>
      </c>
      <c r="I3" s="10" t="s">
        <v>262</v>
      </c>
      <c r="J3" s="10" t="s">
        <v>263</v>
      </c>
      <c r="K3" s="10" t="s">
        <v>264</v>
      </c>
      <c r="L3" s="10" t="s">
        <v>265</v>
      </c>
      <c r="M3" s="10" t="s">
        <v>266</v>
      </c>
      <c r="N3" s="10" t="s">
        <v>29</v>
      </c>
      <c r="O3" s="69" t="s">
        <v>267</v>
      </c>
      <c r="P3" s="6"/>
      <c r="Q3" s="70" t="s">
        <v>268</v>
      </c>
      <c r="R3" s="3"/>
      <c r="S3" s="3"/>
      <c r="T3" s="3"/>
      <c r="U3" s="4"/>
    </row>
    <row r="4" ht="15.0" customHeight="1">
      <c r="A4" s="13" t="s">
        <v>269</v>
      </c>
      <c r="B4" s="14">
        <v>46237.0</v>
      </c>
      <c r="C4" s="16" t="s">
        <v>270</v>
      </c>
      <c r="D4" s="24">
        <v>5.0E7</v>
      </c>
      <c r="E4" s="13" t="s">
        <v>33</v>
      </c>
      <c r="F4" s="16" t="s">
        <v>34</v>
      </c>
      <c r="G4" s="13" t="s">
        <v>98</v>
      </c>
      <c r="H4" s="16" t="s">
        <v>99</v>
      </c>
      <c r="I4" s="13" t="s">
        <v>103</v>
      </c>
      <c r="J4" s="16" t="s">
        <v>104</v>
      </c>
      <c r="K4" s="24">
        <f t="shared" ref="K4:K7" si="1">D4*0.06</f>
        <v>3000000</v>
      </c>
      <c r="L4" s="24">
        <f t="shared" ref="L4:L7" si="2">D4*0.01</f>
        <v>500000</v>
      </c>
      <c r="M4" s="24">
        <f t="shared" ref="M4:M7" si="3">D4*0.005</f>
        <v>250000</v>
      </c>
      <c r="N4" s="13" t="s">
        <v>271</v>
      </c>
      <c r="O4" s="71" t="s">
        <v>272</v>
      </c>
      <c r="P4" s="6"/>
      <c r="Q4" s="72" t="s">
        <v>273</v>
      </c>
      <c r="R4" s="73" t="s">
        <v>274</v>
      </c>
      <c r="S4" s="74" t="s">
        <v>275</v>
      </c>
      <c r="T4" s="74" t="s">
        <v>85</v>
      </c>
      <c r="U4" s="74" t="s">
        <v>279</v>
      </c>
    </row>
    <row r="5" ht="15.0" customHeight="1">
      <c r="A5" s="13" t="s">
        <v>282</v>
      </c>
      <c r="B5" s="14">
        <v>46244.0</v>
      </c>
      <c r="C5" s="16" t="s">
        <v>283</v>
      </c>
      <c r="D5" s="24">
        <v>1.0E8</v>
      </c>
      <c r="E5" s="13" t="s">
        <v>98</v>
      </c>
      <c r="F5" s="16" t="s">
        <v>99</v>
      </c>
      <c r="G5" s="13" t="s">
        <v>33</v>
      </c>
      <c r="H5" s="16" t="s">
        <v>34</v>
      </c>
      <c r="I5" s="13" t="s">
        <v>103</v>
      </c>
      <c r="J5" s="16" t="s">
        <v>104</v>
      </c>
      <c r="K5" s="24">
        <f t="shared" si="1"/>
        <v>6000000</v>
      </c>
      <c r="L5" s="24">
        <f t="shared" si="2"/>
        <v>1000000</v>
      </c>
      <c r="M5" s="24">
        <f t="shared" si="3"/>
        <v>500000</v>
      </c>
      <c r="N5" s="13" t="s">
        <v>271</v>
      </c>
      <c r="O5" s="71" t="s">
        <v>284</v>
      </c>
      <c r="P5" s="6"/>
      <c r="Q5" s="16" t="s">
        <v>88</v>
      </c>
      <c r="R5" s="75">
        <v>0.06</v>
      </c>
      <c r="S5" s="24">
        <f t="shared" ref="S5:S14" si="4">$D$8*R5</f>
        <v>30000000</v>
      </c>
      <c r="T5" s="24">
        <f>SUMIFS('5. Nhật ký Hợp đồng'!K$4:K$103, '5. Nhật ký Hợp đồng'!N$4:N$103, "Đã duyệt") + SUMIFS('6. Nhật ký Thu chi'!P$4:P$103, '6. Nhật ký Thu chi'!C$4:C$103, Q5, '6. Nhật ký Thu chi'!M$4:M$103, "Đã duyệt")</f>
        <v>30000000</v>
      </c>
      <c r="U5" s="24">
        <f>'1. Phân bổ Ngân sách'!H10</f>
        <v>300000000</v>
      </c>
    </row>
    <row r="6" ht="15.0" customHeight="1">
      <c r="A6" s="13" t="s">
        <v>285</v>
      </c>
      <c r="B6" s="14">
        <v>46249.0</v>
      </c>
      <c r="C6" s="16" t="s">
        <v>286</v>
      </c>
      <c r="D6" s="24">
        <v>1.5E8</v>
      </c>
      <c r="E6" s="13" t="s">
        <v>33</v>
      </c>
      <c r="F6" s="16" t="s">
        <v>34</v>
      </c>
      <c r="G6" s="13" t="s">
        <v>98</v>
      </c>
      <c r="H6" s="16" t="s">
        <v>99</v>
      </c>
      <c r="I6" s="13" t="s">
        <v>108</v>
      </c>
      <c r="J6" s="16" t="s">
        <v>109</v>
      </c>
      <c r="K6" s="24">
        <f t="shared" si="1"/>
        <v>9000000</v>
      </c>
      <c r="L6" s="24">
        <f t="shared" si="2"/>
        <v>1500000</v>
      </c>
      <c r="M6" s="24">
        <f t="shared" si="3"/>
        <v>750000</v>
      </c>
      <c r="N6" s="13" t="s">
        <v>271</v>
      </c>
      <c r="O6" s="71" t="s">
        <v>287</v>
      </c>
      <c r="P6" s="6"/>
      <c r="Q6" s="16" t="s">
        <v>97</v>
      </c>
      <c r="R6" s="75">
        <v>0.01</v>
      </c>
      <c r="S6" s="24">
        <f t="shared" si="4"/>
        <v>5000000</v>
      </c>
      <c r="T6" s="24">
        <f>SUMIFS('5. Nhật ký Hợp đồng'!L$4:L$103, '5. Nhật ký Hợp đồng'!N$4:N$103, "Đã duyệt") + SUMIFS('6. Nhật ký Thu chi'!P$4:P$103, '6. Nhật ký Thu chi'!C$4:C$103, Q6, '6. Nhật ký Thu chi'!M$4:M$103, "Đã duyệt")</f>
        <v>5000000</v>
      </c>
      <c r="U6" s="24">
        <f>'1. Phân bổ Ngân sách'!H11</f>
        <v>50000000</v>
      </c>
    </row>
    <row r="7" ht="15.0" customHeight="1">
      <c r="A7" s="13" t="s">
        <v>288</v>
      </c>
      <c r="B7" s="14">
        <v>46254.0</v>
      </c>
      <c r="C7" s="16" t="s">
        <v>289</v>
      </c>
      <c r="D7" s="24">
        <v>2.0E8</v>
      </c>
      <c r="E7" s="13" t="s">
        <v>194</v>
      </c>
      <c r="F7" s="16" t="s">
        <v>195</v>
      </c>
      <c r="G7" s="13" t="s">
        <v>98</v>
      </c>
      <c r="H7" s="16" t="s">
        <v>99</v>
      </c>
      <c r="I7" s="13" t="s">
        <v>103</v>
      </c>
      <c r="J7" s="16" t="s">
        <v>104</v>
      </c>
      <c r="K7" s="24">
        <f t="shared" si="1"/>
        <v>12000000</v>
      </c>
      <c r="L7" s="24">
        <f t="shared" si="2"/>
        <v>2000000</v>
      </c>
      <c r="M7" s="24">
        <f t="shared" si="3"/>
        <v>1000000</v>
      </c>
      <c r="N7" s="13" t="s">
        <v>271</v>
      </c>
      <c r="O7" s="71" t="s">
        <v>290</v>
      </c>
      <c r="P7" s="6"/>
      <c r="Q7" s="16" t="s">
        <v>107</v>
      </c>
      <c r="R7" s="75">
        <v>0.005</v>
      </c>
      <c r="S7" s="24">
        <f t="shared" si="4"/>
        <v>2500000</v>
      </c>
      <c r="T7" s="24">
        <f>SUMIFS('5. Nhật ký Hợp đồng'!M$4:M$103, '5. Nhật ký Hợp đồng'!N$4:N$103, "Đã duyệt") + SUMIFS('6. Nhật ký Thu chi'!P$4:P$103, '6. Nhật ký Thu chi'!C$4:C$103, Q7, '6. Nhật ký Thu chi'!M$4:M$103, "Đã duyệt")</f>
        <v>2500000</v>
      </c>
      <c r="U7" s="24">
        <f>'1. Phân bổ Ngân sách'!H12</f>
        <v>25000000</v>
      </c>
    </row>
    <row r="8" ht="15.0" customHeight="1">
      <c r="A8" s="49" t="s">
        <v>142</v>
      </c>
      <c r="B8" s="50"/>
      <c r="C8" s="51"/>
      <c r="D8" s="52">
        <f>SUM(D4:D7)</f>
        <v>500000000</v>
      </c>
      <c r="E8" s="50"/>
      <c r="F8" s="51"/>
      <c r="G8" s="50"/>
      <c r="H8" s="51"/>
      <c r="I8" s="50"/>
      <c r="J8" s="51"/>
      <c r="K8" s="52">
        <f t="shared" ref="K8:M8" si="5">SUM(K4:K7)</f>
        <v>30000000</v>
      </c>
      <c r="L8" s="52">
        <f t="shared" si="5"/>
        <v>5000000</v>
      </c>
      <c r="M8" s="52">
        <f t="shared" si="5"/>
        <v>2500000</v>
      </c>
      <c r="N8" s="50"/>
      <c r="O8" s="71"/>
      <c r="P8" s="6"/>
      <c r="Q8" s="16" t="s">
        <v>117</v>
      </c>
      <c r="R8" s="75">
        <v>0.005</v>
      </c>
      <c r="S8" s="24">
        <f t="shared" si="4"/>
        <v>2500000</v>
      </c>
      <c r="T8" s="24">
        <f>SUMIFS('3. Nhật ký Sự kiện'!I$4:I$103, '3. Nhật ký Sự kiện'!L$4:L$103, "Đã hoàn thành") + SUMIFS('6. Nhật ký Thu chi'!P$4:P$103, '6. Nhật ký Thu chi'!C$4:C$103, Q8, '6. Nhật ký Thu chi'!M$4:M$103, "Đã duyệt")</f>
        <v>3000000</v>
      </c>
      <c r="U8" s="24">
        <f>'1. Phân bổ Ngân sách'!H13</f>
        <v>24500000</v>
      </c>
    </row>
    <row r="9" ht="15.0" customHeight="1">
      <c r="A9" s="76"/>
      <c r="B9" s="76"/>
      <c r="C9" s="77"/>
      <c r="D9" s="78"/>
      <c r="E9" s="76"/>
      <c r="F9" s="77"/>
      <c r="G9" s="76"/>
      <c r="H9" s="77"/>
      <c r="I9" s="76"/>
      <c r="J9" s="77"/>
      <c r="K9" s="78"/>
      <c r="L9" s="78"/>
      <c r="M9" s="78"/>
      <c r="N9" s="76"/>
      <c r="O9" s="71"/>
      <c r="P9" s="6"/>
      <c r="Q9" s="16" t="s">
        <v>125</v>
      </c>
      <c r="R9" s="75">
        <v>0.002</v>
      </c>
      <c r="S9" s="24">
        <f t="shared" si="4"/>
        <v>1000000</v>
      </c>
      <c r="T9" s="24">
        <f>SUMIFS('6. Nhật ký Thu chi'!P$4:P$103, '6. Nhật ký Thu chi'!C$4:C$103, Q9, '6. Nhật ký Thu chi'!M$4:M$103, "Đã duyệt")</f>
        <v>3000000</v>
      </c>
      <c r="U9" s="24">
        <f>'1. Phân bổ Ngân sách'!H14</f>
        <v>8000000</v>
      </c>
    </row>
    <row r="10" ht="15.0" customHeight="1">
      <c r="A10" s="76"/>
      <c r="B10" s="76"/>
      <c r="C10" s="77"/>
      <c r="D10" s="78"/>
      <c r="E10" s="76"/>
      <c r="F10" s="77"/>
      <c r="G10" s="76"/>
      <c r="H10" s="77"/>
      <c r="I10" s="76"/>
      <c r="J10" s="77"/>
      <c r="K10" s="78"/>
      <c r="L10" s="78"/>
      <c r="M10" s="78"/>
      <c r="N10" s="76"/>
      <c r="O10" s="71"/>
      <c r="P10" s="6"/>
      <c r="Q10" s="16" t="s">
        <v>128</v>
      </c>
      <c r="R10" s="75">
        <v>0.003</v>
      </c>
      <c r="S10" s="24">
        <f t="shared" si="4"/>
        <v>1500000</v>
      </c>
      <c r="T10" s="24">
        <f>SUMIFS('7. Nhật ký Đào tạo'!L$4:L$103, '7. Nhật ký Đào tạo'!K$4:K$103, "Đã duyệt") + SUMIFS('6. Nhật ký Thu chi'!P$4:P$103, '6. Nhật ký Thu chi'!C$4:C$103, Q10, '6. Nhật ký Thu chi'!M$4:M$103, "Đã duyệt")</f>
        <v>16000000</v>
      </c>
      <c r="U10" s="24">
        <f>'1. Phân bổ Ngân sách'!H15</f>
        <v>500000</v>
      </c>
    </row>
    <row r="11" ht="15.0" customHeight="1">
      <c r="A11" s="76"/>
      <c r="B11" s="76"/>
      <c r="C11" s="77"/>
      <c r="D11" s="78"/>
      <c r="E11" s="76"/>
      <c r="F11" s="77"/>
      <c r="G11" s="76"/>
      <c r="H11" s="77"/>
      <c r="I11" s="76"/>
      <c r="J11" s="77"/>
      <c r="K11" s="78"/>
      <c r="L11" s="78"/>
      <c r="M11" s="78"/>
      <c r="N11" s="76"/>
      <c r="O11" s="71"/>
      <c r="P11" s="6"/>
      <c r="Q11" s="16" t="s">
        <v>134</v>
      </c>
      <c r="R11" s="75">
        <v>0.008</v>
      </c>
      <c r="S11" s="24">
        <f t="shared" si="4"/>
        <v>4000000</v>
      </c>
      <c r="T11" s="24">
        <f>SUMIFS('6. Nhật ký Thu chi'!P$4:P$103, '6. Nhật ký Thu chi'!C$4:C$103, Q11, '6. Nhật ký Thu chi'!M$4:M$103, "Đã duyệt")</f>
        <v>10000000</v>
      </c>
      <c r="U11" s="24">
        <f>'1. Phân bổ Ngân sách'!H16</f>
        <v>34000000</v>
      </c>
    </row>
    <row r="12" ht="15.0" customHeight="1">
      <c r="A12" s="76"/>
      <c r="B12" s="76"/>
      <c r="C12" s="77"/>
      <c r="D12" s="78"/>
      <c r="E12" s="76"/>
      <c r="F12" s="77"/>
      <c r="G12" s="76"/>
      <c r="H12" s="77"/>
      <c r="I12" s="76"/>
      <c r="J12" s="77"/>
      <c r="K12" s="78"/>
      <c r="L12" s="78"/>
      <c r="M12" s="78"/>
      <c r="N12" s="76"/>
      <c r="O12" s="71"/>
      <c r="P12" s="6"/>
      <c r="Q12" s="16" t="s">
        <v>136</v>
      </c>
      <c r="R12" s="75">
        <v>0.003</v>
      </c>
      <c r="S12" s="24">
        <f t="shared" si="4"/>
        <v>1500000</v>
      </c>
      <c r="T12" s="24">
        <f>SUMIFS('6. Nhật ký Thu chi'!P$4:P$103, '6. Nhật ký Thu chi'!C$4:C$103, Q12, '6. Nhật ký Thu chi'!M$4:M$103, "Đã duyệt")</f>
        <v>1500000</v>
      </c>
      <c r="U12" s="24">
        <f>'1. Phân bổ Ngân sách'!H17</f>
        <v>15000000</v>
      </c>
    </row>
    <row r="13" ht="15.0" customHeight="1">
      <c r="A13" s="76"/>
      <c r="B13" s="76"/>
      <c r="C13" s="77"/>
      <c r="D13" s="78"/>
      <c r="E13" s="76"/>
      <c r="F13" s="77"/>
      <c r="G13" s="76"/>
      <c r="H13" s="77"/>
      <c r="I13" s="76"/>
      <c r="J13" s="77"/>
      <c r="K13" s="78"/>
      <c r="L13" s="78"/>
      <c r="M13" s="78"/>
      <c r="N13" s="76"/>
      <c r="O13" s="71"/>
      <c r="P13" s="6"/>
      <c r="Q13" s="16" t="s">
        <v>148</v>
      </c>
      <c r="R13" s="75">
        <v>0.029</v>
      </c>
      <c r="S13" s="24">
        <f t="shared" si="4"/>
        <v>14500000</v>
      </c>
      <c r="T13" s="24">
        <f>SUMIFS('6. Nhật ký Thu chi'!P$4:P$103, '6. Nhật ký Thu chi'!C$4:C$103, Q13, '6. Nhật ký Thu chi'!M4:M103, "Đã duyệt")</f>
        <v>0</v>
      </c>
      <c r="U13" s="24">
        <f>'1. Phân bổ Ngân sách'!H19</f>
        <v>159500000</v>
      </c>
    </row>
    <row r="14" ht="15.0" customHeight="1">
      <c r="A14" s="76"/>
      <c r="B14" s="76"/>
      <c r="C14" s="77"/>
      <c r="D14" s="78"/>
      <c r="E14" s="76"/>
      <c r="F14" s="77"/>
      <c r="G14" s="76"/>
      <c r="H14" s="77"/>
      <c r="I14" s="76"/>
      <c r="J14" s="77"/>
      <c r="K14" s="78"/>
      <c r="L14" s="78"/>
      <c r="M14" s="78"/>
      <c r="N14" s="76"/>
      <c r="O14" s="71"/>
      <c r="P14" s="6"/>
      <c r="Q14" s="16" t="s">
        <v>139</v>
      </c>
      <c r="R14" s="75">
        <v>0.025</v>
      </c>
      <c r="S14" s="24">
        <f t="shared" si="4"/>
        <v>12500000</v>
      </c>
      <c r="T14" s="24">
        <f>SUMIFS('6. Nhật ký Thu chi'!P$4:P$103, '6. Nhật ký Thu chi'!C$4:C$103, Q14, '6. Nhật ký Thu chi'!M$4:M$103, "Đã duyệt")</f>
        <v>0</v>
      </c>
      <c r="U14" s="24">
        <f>'1. Phân bổ Ngân sách'!H18</f>
        <v>282500000</v>
      </c>
    </row>
    <row r="15" ht="15.0" customHeight="1">
      <c r="A15" s="76"/>
      <c r="B15" s="76"/>
      <c r="C15" s="77"/>
      <c r="D15" s="78"/>
      <c r="E15" s="76"/>
      <c r="F15" s="77"/>
      <c r="G15" s="76"/>
      <c r="H15" s="77"/>
      <c r="I15" s="76"/>
      <c r="J15" s="77"/>
      <c r="K15" s="78"/>
      <c r="L15" s="78"/>
      <c r="M15" s="78"/>
      <c r="N15" s="76"/>
      <c r="O15" s="71"/>
      <c r="P15" s="6"/>
      <c r="Q15" s="79" t="s">
        <v>301</v>
      </c>
      <c r="R15" s="80">
        <f t="shared" ref="R15:U15" si="6">SUM(R5:R14)</f>
        <v>0.15</v>
      </c>
      <c r="S15" s="52">
        <f t="shared" si="6"/>
        <v>75000000</v>
      </c>
      <c r="T15" s="81">
        <f t="shared" si="6"/>
        <v>71000000</v>
      </c>
      <c r="U15" s="81">
        <f t="shared" si="6"/>
        <v>899000000</v>
      </c>
    </row>
    <row r="16" ht="15.0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1"/>
      <c r="P16" s="6"/>
      <c r="Q16" s="6"/>
      <c r="R16" s="6"/>
      <c r="S16" s="6"/>
      <c r="T16" s="6"/>
      <c r="U16" s="6"/>
    </row>
    <row r="17" ht="15.0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1"/>
      <c r="P17" s="6"/>
      <c r="Q17" s="6"/>
      <c r="R17" s="6"/>
      <c r="S17" s="6"/>
      <c r="T17" s="6"/>
      <c r="U17" s="6"/>
    </row>
    <row r="18" ht="15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1"/>
      <c r="P18" s="6"/>
      <c r="Q18" s="6"/>
      <c r="R18" s="6"/>
      <c r="S18" s="6"/>
      <c r="T18" s="6"/>
      <c r="U18" s="6"/>
    </row>
    <row r="19" ht="15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1"/>
      <c r="P19" s="6"/>
      <c r="Q19" s="6"/>
      <c r="R19" s="6"/>
      <c r="S19" s="6"/>
      <c r="T19" s="6"/>
      <c r="U19" s="6"/>
    </row>
    <row r="20" ht="15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1"/>
      <c r="P20" s="6"/>
      <c r="Q20" s="6"/>
      <c r="R20" s="6"/>
      <c r="S20" s="6"/>
      <c r="T20" s="6"/>
      <c r="U20" s="6"/>
    </row>
    <row r="21" ht="15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1"/>
      <c r="P21" s="6"/>
      <c r="Q21" s="6"/>
      <c r="R21" s="6"/>
      <c r="S21" s="6"/>
      <c r="T21" s="6"/>
      <c r="U21" s="6"/>
    </row>
    <row r="22" ht="15.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71"/>
      <c r="P22" s="6"/>
      <c r="Q22" s="6"/>
      <c r="R22" s="6"/>
      <c r="S22" s="6"/>
      <c r="T22" s="6"/>
      <c r="U22" s="6"/>
    </row>
    <row r="23" ht="15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1"/>
      <c r="P23" s="6"/>
      <c r="Q23" s="6"/>
      <c r="R23" s="6"/>
      <c r="S23" s="6"/>
      <c r="T23" s="6"/>
      <c r="U23" s="6"/>
    </row>
    <row r="24" ht="15.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1"/>
      <c r="P24" s="6"/>
      <c r="Q24" s="6"/>
      <c r="R24" s="6"/>
      <c r="S24" s="6"/>
      <c r="T24" s="6"/>
      <c r="U24" s="6"/>
    </row>
    <row r="25" ht="15.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1"/>
      <c r="P25" s="6"/>
      <c r="Q25" s="6"/>
      <c r="R25" s="6"/>
      <c r="S25" s="6"/>
      <c r="T25" s="6"/>
      <c r="U25" s="6"/>
    </row>
    <row r="26" ht="15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1"/>
      <c r="P26" s="6"/>
      <c r="Q26" s="6"/>
      <c r="R26" s="6"/>
      <c r="S26" s="6"/>
      <c r="T26" s="6"/>
      <c r="U26" s="6"/>
    </row>
    <row r="27" ht="15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1"/>
      <c r="P27" s="6"/>
      <c r="Q27" s="6"/>
      <c r="R27" s="6"/>
      <c r="S27" s="6"/>
      <c r="T27" s="6"/>
      <c r="U27" s="6"/>
    </row>
    <row r="28" ht="15.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1"/>
      <c r="P28" s="6"/>
      <c r="Q28" s="6"/>
      <c r="R28" s="6"/>
      <c r="S28" s="6"/>
      <c r="T28" s="6"/>
      <c r="U28" s="6"/>
    </row>
    <row r="29" ht="15.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1"/>
      <c r="P29" s="6"/>
      <c r="Q29" s="6"/>
      <c r="R29" s="6"/>
      <c r="S29" s="6"/>
      <c r="T29" s="6"/>
      <c r="U29" s="6"/>
    </row>
    <row r="30" ht="15.0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1"/>
      <c r="P30" s="6"/>
      <c r="Q30" s="6"/>
      <c r="R30" s="6"/>
      <c r="S30" s="6"/>
      <c r="T30" s="6"/>
      <c r="U30" s="6"/>
    </row>
    <row r="31" ht="15.0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1"/>
      <c r="P31" s="6"/>
      <c r="Q31" s="6"/>
      <c r="R31" s="6"/>
      <c r="S31" s="6"/>
      <c r="T31" s="6"/>
      <c r="U31" s="6"/>
    </row>
    <row r="32" ht="15.0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1"/>
      <c r="P32" s="6"/>
      <c r="Q32" s="6"/>
      <c r="R32" s="6"/>
      <c r="S32" s="6"/>
      <c r="T32" s="6"/>
      <c r="U32" s="6"/>
    </row>
    <row r="33" ht="15.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1"/>
      <c r="P33" s="6"/>
      <c r="Q33" s="6"/>
      <c r="R33" s="6"/>
      <c r="S33" s="6"/>
      <c r="T33" s="6"/>
      <c r="U33" s="6"/>
    </row>
    <row r="34" ht="15.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71"/>
      <c r="P34" s="6"/>
      <c r="Q34" s="6"/>
      <c r="R34" s="6"/>
      <c r="S34" s="6"/>
      <c r="T34" s="6"/>
      <c r="U34" s="6"/>
    </row>
    <row r="35" ht="15.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1"/>
      <c r="P35" s="6"/>
      <c r="Q35" s="6"/>
      <c r="R35" s="6"/>
      <c r="S35" s="6"/>
      <c r="T35" s="6"/>
      <c r="U35" s="6"/>
    </row>
    <row r="36" ht="15.0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1"/>
      <c r="P36" s="6"/>
      <c r="Q36" s="6"/>
      <c r="R36" s="6"/>
      <c r="S36" s="6"/>
      <c r="T36" s="6"/>
      <c r="U36" s="6"/>
    </row>
    <row r="37" ht="15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71"/>
      <c r="P37" s="6"/>
      <c r="Q37" s="6"/>
      <c r="R37" s="6"/>
      <c r="S37" s="6"/>
      <c r="T37" s="6"/>
      <c r="U37" s="6"/>
    </row>
    <row r="38" ht="15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71"/>
      <c r="P38" s="6"/>
      <c r="Q38" s="6"/>
      <c r="R38" s="6"/>
      <c r="S38" s="6"/>
      <c r="T38" s="6"/>
      <c r="U38" s="6"/>
    </row>
    <row r="39" ht="15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71"/>
      <c r="P39" s="6"/>
      <c r="Q39" s="6"/>
      <c r="R39" s="6"/>
      <c r="S39" s="6"/>
      <c r="T39" s="6"/>
      <c r="U39" s="6"/>
    </row>
    <row r="40" ht="15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71"/>
      <c r="P40" s="6"/>
      <c r="Q40" s="6"/>
      <c r="R40" s="6"/>
      <c r="S40" s="6"/>
      <c r="T40" s="6"/>
      <c r="U40" s="6"/>
    </row>
    <row r="41" ht="15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71"/>
      <c r="P41" s="6"/>
      <c r="Q41" s="6"/>
      <c r="R41" s="6"/>
      <c r="S41" s="6"/>
      <c r="T41" s="6"/>
      <c r="U41" s="6"/>
    </row>
    <row r="42" ht="15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71"/>
      <c r="P42" s="6"/>
      <c r="Q42" s="6"/>
      <c r="R42" s="6"/>
      <c r="S42" s="6"/>
      <c r="T42" s="6"/>
      <c r="U42" s="6"/>
    </row>
    <row r="43" ht="15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71"/>
      <c r="P43" s="6"/>
      <c r="Q43" s="6"/>
      <c r="R43" s="6"/>
      <c r="S43" s="6"/>
      <c r="T43" s="6"/>
      <c r="U43" s="6"/>
    </row>
    <row r="44" ht="15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71"/>
      <c r="P44" s="6"/>
      <c r="Q44" s="6"/>
      <c r="R44" s="6"/>
      <c r="S44" s="6"/>
      <c r="T44" s="6"/>
      <c r="U44" s="6"/>
    </row>
    <row r="45" ht="15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71"/>
      <c r="P45" s="6"/>
      <c r="Q45" s="6"/>
      <c r="R45" s="6"/>
      <c r="S45" s="6"/>
      <c r="T45" s="6"/>
      <c r="U45" s="6"/>
    </row>
    <row r="46" ht="15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71"/>
      <c r="P46" s="6"/>
      <c r="Q46" s="6"/>
      <c r="R46" s="6"/>
      <c r="S46" s="6"/>
      <c r="T46" s="6"/>
      <c r="U46" s="6"/>
    </row>
    <row r="47" ht="15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71"/>
      <c r="P47" s="6"/>
      <c r="Q47" s="6"/>
      <c r="R47" s="6"/>
      <c r="S47" s="6"/>
      <c r="T47" s="6"/>
      <c r="U47" s="6"/>
    </row>
    <row r="48" ht="15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71"/>
      <c r="P48" s="6"/>
      <c r="Q48" s="6"/>
      <c r="R48" s="6"/>
      <c r="S48" s="6"/>
      <c r="T48" s="6"/>
      <c r="U48" s="6"/>
    </row>
    <row r="49" ht="15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71"/>
      <c r="P49" s="6"/>
      <c r="Q49" s="6"/>
      <c r="R49" s="6"/>
      <c r="S49" s="6"/>
      <c r="T49" s="6"/>
      <c r="U49" s="6"/>
    </row>
    <row r="50" ht="15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71"/>
      <c r="P50" s="6"/>
      <c r="Q50" s="6"/>
      <c r="R50" s="6"/>
      <c r="S50" s="6"/>
      <c r="T50" s="6"/>
      <c r="U50" s="6"/>
    </row>
    <row r="51" ht="15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71"/>
      <c r="P51" s="6"/>
      <c r="Q51" s="6"/>
      <c r="R51" s="6"/>
      <c r="S51" s="6"/>
      <c r="T51" s="6"/>
      <c r="U51" s="6"/>
    </row>
    <row r="52" ht="15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71"/>
      <c r="P52" s="6"/>
      <c r="Q52" s="6"/>
      <c r="R52" s="6"/>
      <c r="S52" s="6"/>
      <c r="T52" s="6"/>
      <c r="U52" s="6"/>
    </row>
    <row r="53" ht="15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71"/>
      <c r="P53" s="6"/>
      <c r="Q53" s="6"/>
      <c r="R53" s="6"/>
      <c r="S53" s="6"/>
      <c r="T53" s="6"/>
      <c r="U53" s="6"/>
    </row>
    <row r="54" ht="15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71"/>
      <c r="P54" s="6"/>
      <c r="Q54" s="6"/>
      <c r="R54" s="6"/>
      <c r="S54" s="6"/>
      <c r="T54" s="6"/>
      <c r="U54" s="6"/>
    </row>
    <row r="55" ht="15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71"/>
      <c r="P55" s="6"/>
      <c r="Q55" s="6"/>
      <c r="R55" s="6"/>
      <c r="S55" s="6"/>
      <c r="T55" s="6"/>
      <c r="U55" s="6"/>
    </row>
    <row r="56" ht="15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71"/>
      <c r="P56" s="6"/>
      <c r="Q56" s="6"/>
      <c r="R56" s="6"/>
      <c r="S56" s="6"/>
      <c r="T56" s="6"/>
      <c r="U56" s="6"/>
    </row>
    <row r="57" ht="15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71"/>
      <c r="P57" s="6"/>
      <c r="Q57" s="6"/>
      <c r="R57" s="6"/>
      <c r="S57" s="6"/>
      <c r="T57" s="6"/>
      <c r="U57" s="6"/>
    </row>
    <row r="58" ht="15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71"/>
      <c r="P58" s="6"/>
      <c r="Q58" s="6"/>
      <c r="R58" s="6"/>
      <c r="S58" s="6"/>
      <c r="T58" s="6"/>
      <c r="U58" s="6"/>
    </row>
    <row r="59" ht="15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71"/>
      <c r="P59" s="6"/>
      <c r="Q59" s="6"/>
      <c r="R59" s="6"/>
      <c r="S59" s="6"/>
      <c r="T59" s="6"/>
      <c r="U59" s="6"/>
    </row>
    <row r="60" ht="15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71"/>
      <c r="P60" s="6"/>
      <c r="Q60" s="6"/>
      <c r="R60" s="6"/>
      <c r="S60" s="6"/>
      <c r="T60" s="6"/>
      <c r="U60" s="6"/>
    </row>
    <row r="61" ht="15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71"/>
      <c r="P61" s="6"/>
      <c r="Q61" s="6"/>
      <c r="R61" s="6"/>
      <c r="S61" s="6"/>
      <c r="T61" s="6"/>
      <c r="U61" s="6"/>
    </row>
    <row r="62" ht="15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71"/>
      <c r="P62" s="6"/>
      <c r="Q62" s="6"/>
      <c r="R62" s="6"/>
      <c r="S62" s="6"/>
      <c r="T62" s="6"/>
      <c r="U62" s="6"/>
    </row>
    <row r="63" ht="15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71"/>
      <c r="P63" s="6"/>
      <c r="Q63" s="6"/>
      <c r="R63" s="6"/>
      <c r="S63" s="6"/>
      <c r="T63" s="6"/>
      <c r="U63" s="6"/>
    </row>
    <row r="64" ht="15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71"/>
      <c r="P64" s="6"/>
      <c r="Q64" s="6"/>
      <c r="R64" s="6"/>
      <c r="S64" s="6"/>
      <c r="T64" s="6"/>
      <c r="U64" s="6"/>
    </row>
    <row r="65" ht="15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71"/>
      <c r="P65" s="6"/>
      <c r="Q65" s="6"/>
      <c r="R65" s="6"/>
      <c r="S65" s="6"/>
      <c r="T65" s="6"/>
      <c r="U65" s="6"/>
    </row>
    <row r="66" ht="15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71"/>
      <c r="P66" s="6"/>
      <c r="Q66" s="6"/>
      <c r="R66" s="6"/>
      <c r="S66" s="6"/>
      <c r="T66" s="6"/>
      <c r="U66" s="6"/>
    </row>
    <row r="67" ht="15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71"/>
      <c r="P67" s="6"/>
      <c r="Q67" s="6"/>
      <c r="R67" s="6"/>
      <c r="S67" s="6"/>
      <c r="T67" s="6"/>
      <c r="U67" s="6"/>
    </row>
    <row r="68" ht="15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71"/>
      <c r="P68" s="6"/>
      <c r="Q68" s="6"/>
      <c r="R68" s="6"/>
      <c r="S68" s="6"/>
      <c r="T68" s="6"/>
      <c r="U68" s="6"/>
    </row>
    <row r="69" ht="15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71"/>
      <c r="P69" s="6"/>
      <c r="Q69" s="6"/>
      <c r="R69" s="6"/>
      <c r="S69" s="6"/>
      <c r="T69" s="6"/>
      <c r="U69" s="6"/>
    </row>
    <row r="70" ht="15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71"/>
      <c r="P70" s="6"/>
      <c r="Q70" s="6"/>
      <c r="R70" s="6"/>
      <c r="S70" s="6"/>
      <c r="T70" s="6"/>
      <c r="U70" s="6"/>
    </row>
    <row r="71" ht="15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71"/>
      <c r="P71" s="6"/>
      <c r="Q71" s="6"/>
      <c r="R71" s="6"/>
      <c r="S71" s="6"/>
      <c r="T71" s="6"/>
      <c r="U71" s="6"/>
    </row>
    <row r="72" ht="15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71"/>
      <c r="P72" s="6"/>
      <c r="Q72" s="6"/>
      <c r="R72" s="6"/>
      <c r="S72" s="6"/>
      <c r="T72" s="6"/>
      <c r="U72" s="6"/>
    </row>
    <row r="73" ht="15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71"/>
      <c r="P73" s="6"/>
      <c r="Q73" s="6"/>
      <c r="R73" s="6"/>
      <c r="S73" s="6"/>
      <c r="T73" s="6"/>
      <c r="U73" s="6"/>
    </row>
    <row r="74" ht="15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71"/>
      <c r="P74" s="6"/>
      <c r="Q74" s="6"/>
      <c r="R74" s="6"/>
      <c r="S74" s="6"/>
      <c r="T74" s="6"/>
      <c r="U74" s="6"/>
    </row>
    <row r="75" ht="15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71"/>
      <c r="P75" s="6"/>
      <c r="Q75" s="6"/>
      <c r="R75" s="6"/>
      <c r="S75" s="6"/>
      <c r="T75" s="6"/>
      <c r="U75" s="6"/>
    </row>
    <row r="76" ht="15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71"/>
      <c r="P76" s="6"/>
      <c r="Q76" s="6"/>
      <c r="R76" s="6"/>
      <c r="S76" s="6"/>
      <c r="T76" s="6"/>
      <c r="U76" s="6"/>
    </row>
    <row r="77" ht="15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71"/>
      <c r="P77" s="6"/>
      <c r="Q77" s="6"/>
      <c r="R77" s="6"/>
      <c r="S77" s="6"/>
      <c r="T77" s="6"/>
      <c r="U77" s="6"/>
    </row>
    <row r="78" ht="15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71"/>
      <c r="P78" s="6"/>
      <c r="Q78" s="6"/>
      <c r="R78" s="6"/>
      <c r="S78" s="6"/>
      <c r="T78" s="6"/>
      <c r="U78" s="6"/>
    </row>
    <row r="79" ht="15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71"/>
      <c r="P79" s="6"/>
      <c r="Q79" s="6"/>
      <c r="R79" s="6"/>
      <c r="S79" s="6"/>
      <c r="T79" s="6"/>
      <c r="U79" s="6"/>
    </row>
    <row r="80" ht="15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71"/>
      <c r="P80" s="6"/>
      <c r="Q80" s="6"/>
      <c r="R80" s="6"/>
      <c r="S80" s="6"/>
      <c r="T80" s="6"/>
      <c r="U80" s="6"/>
    </row>
    <row r="81" ht="15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71"/>
      <c r="P81" s="6"/>
      <c r="Q81" s="6"/>
      <c r="R81" s="6"/>
      <c r="S81" s="6"/>
      <c r="T81" s="6"/>
      <c r="U81" s="6"/>
    </row>
    <row r="82" ht="15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71"/>
      <c r="P82" s="6"/>
      <c r="Q82" s="6"/>
      <c r="R82" s="6"/>
      <c r="S82" s="6"/>
      <c r="T82" s="6"/>
      <c r="U82" s="6"/>
    </row>
    <row r="83" ht="15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71"/>
      <c r="P83" s="6"/>
      <c r="Q83" s="6"/>
      <c r="R83" s="6"/>
      <c r="S83" s="6"/>
      <c r="T83" s="6"/>
      <c r="U83" s="6"/>
    </row>
    <row r="84" ht="15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71"/>
      <c r="P84" s="6"/>
      <c r="Q84" s="6"/>
      <c r="R84" s="6"/>
      <c r="S84" s="6"/>
      <c r="T84" s="6"/>
      <c r="U84" s="6"/>
    </row>
    <row r="85" ht="15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71"/>
      <c r="P85" s="6"/>
      <c r="Q85" s="6"/>
      <c r="R85" s="6"/>
      <c r="S85" s="6"/>
      <c r="T85" s="6"/>
      <c r="U85" s="6"/>
    </row>
    <row r="86" ht="15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71"/>
      <c r="P86" s="6"/>
      <c r="Q86" s="6"/>
      <c r="R86" s="6"/>
      <c r="S86" s="6"/>
      <c r="T86" s="6"/>
      <c r="U86" s="6"/>
    </row>
    <row r="87" ht="15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71"/>
      <c r="P87" s="6"/>
      <c r="Q87" s="6"/>
      <c r="R87" s="6"/>
      <c r="S87" s="6"/>
      <c r="T87" s="6"/>
      <c r="U87" s="6"/>
    </row>
    <row r="88" ht="15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71"/>
      <c r="P88" s="6"/>
      <c r="Q88" s="6"/>
      <c r="R88" s="6"/>
      <c r="S88" s="6"/>
      <c r="T88" s="6"/>
      <c r="U88" s="6"/>
    </row>
    <row r="89" ht="15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71"/>
      <c r="P89" s="6"/>
      <c r="Q89" s="6"/>
      <c r="R89" s="6"/>
      <c r="S89" s="6"/>
      <c r="T89" s="6"/>
      <c r="U89" s="6"/>
    </row>
    <row r="90" ht="15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71"/>
      <c r="P90" s="6"/>
      <c r="Q90" s="6"/>
      <c r="R90" s="6"/>
      <c r="S90" s="6"/>
      <c r="T90" s="6"/>
      <c r="U90" s="6"/>
    </row>
    <row r="91" ht="15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71"/>
      <c r="P91" s="6"/>
      <c r="Q91" s="6"/>
      <c r="R91" s="6"/>
      <c r="S91" s="6"/>
      <c r="T91" s="6"/>
      <c r="U91" s="6"/>
    </row>
    <row r="92" ht="15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71"/>
      <c r="P92" s="6"/>
      <c r="Q92" s="6"/>
      <c r="R92" s="6"/>
      <c r="S92" s="6"/>
      <c r="T92" s="6"/>
      <c r="U92" s="6"/>
    </row>
    <row r="93" ht="15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71"/>
      <c r="P93" s="6"/>
      <c r="Q93" s="6"/>
      <c r="R93" s="6"/>
      <c r="S93" s="6"/>
      <c r="T93" s="6"/>
      <c r="U93" s="6"/>
    </row>
    <row r="94" ht="15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71"/>
      <c r="P94" s="6"/>
      <c r="Q94" s="6"/>
      <c r="R94" s="6"/>
      <c r="S94" s="6"/>
      <c r="T94" s="6"/>
      <c r="U94" s="6"/>
    </row>
    <row r="95" ht="15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71"/>
      <c r="P95" s="6"/>
      <c r="Q95" s="6"/>
      <c r="R95" s="6"/>
      <c r="S95" s="6"/>
      <c r="T95" s="6"/>
      <c r="U95" s="6"/>
    </row>
    <row r="96" ht="15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71"/>
      <c r="P96" s="6"/>
      <c r="Q96" s="6"/>
      <c r="R96" s="6"/>
      <c r="S96" s="6"/>
      <c r="T96" s="6"/>
      <c r="U96" s="6"/>
    </row>
    <row r="97" ht="15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71"/>
      <c r="P97" s="6"/>
      <c r="Q97" s="6"/>
      <c r="R97" s="6"/>
      <c r="S97" s="6"/>
      <c r="T97" s="6"/>
      <c r="U97" s="6"/>
    </row>
    <row r="98" ht="15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71"/>
      <c r="P98" s="6"/>
      <c r="Q98" s="6"/>
      <c r="R98" s="6"/>
      <c r="S98" s="6"/>
      <c r="T98" s="6"/>
      <c r="U98" s="6"/>
    </row>
    <row r="99" ht="15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71"/>
      <c r="P99" s="6"/>
      <c r="Q99" s="6"/>
      <c r="R99" s="6"/>
      <c r="S99" s="6"/>
      <c r="T99" s="6"/>
      <c r="U99" s="6"/>
    </row>
    <row r="100" ht="15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71"/>
      <c r="P100" s="6"/>
      <c r="Q100" s="6"/>
      <c r="R100" s="6"/>
      <c r="S100" s="6"/>
      <c r="T100" s="6"/>
      <c r="U100" s="6"/>
    </row>
    <row r="101" ht="15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71"/>
      <c r="P101" s="6"/>
      <c r="Q101" s="6"/>
      <c r="R101" s="6"/>
      <c r="S101" s="6"/>
      <c r="T101" s="6"/>
      <c r="U101" s="6"/>
    </row>
    <row r="102" ht="15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71"/>
      <c r="P102" s="6"/>
      <c r="Q102" s="6"/>
      <c r="R102" s="6"/>
      <c r="S102" s="6"/>
      <c r="T102" s="6"/>
      <c r="U102" s="6"/>
    </row>
    <row r="103" ht="15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71"/>
      <c r="P103" s="6"/>
      <c r="Q103" s="6"/>
      <c r="R103" s="6"/>
      <c r="S103" s="6"/>
      <c r="T103" s="6"/>
      <c r="U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</row>
  </sheetData>
  <mergeCells count="2">
    <mergeCell ref="A1:O1"/>
    <mergeCell ref="Q3:U3"/>
  </mergeCells>
  <conditionalFormatting sqref="U5:U14">
    <cfRule type="cellIs" dxfId="0" priority="1" operator="lessThan">
      <formula>0</formula>
    </cfRule>
  </conditionalFormatting>
  <dataValidations>
    <dataValidation type="list" allowBlank="1" sqref="N4:N103">
      <formula1>"Chờ duyệt,Đã duyệt"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2.0"/>
    <col customWidth="1" min="3" max="3" width="38.0"/>
    <col customWidth="1" min="4" max="4" width="46.0"/>
    <col customWidth="1" min="5" max="5" width="24.0"/>
    <col customWidth="1" min="6" max="6" width="23.0"/>
    <col customWidth="1" min="7" max="7" width="26.0"/>
    <col customWidth="1" min="8" max="8" width="21.0"/>
    <col customWidth="1" min="9" max="9" width="32.0"/>
    <col customWidth="1" min="10" max="10" width="24.0"/>
    <col customWidth="1" min="11" max="11" width="23.0"/>
    <col customWidth="1" min="12" max="12" width="19.0"/>
    <col customWidth="1" min="13" max="13" width="23.0"/>
    <col customWidth="1" min="14" max="14" width="18.0"/>
    <col customWidth="1" min="15" max="15" width="20.0"/>
    <col customWidth="1" min="16" max="16" width="25.0"/>
    <col customWidth="1" min="17" max="17" width="53.0"/>
    <col customWidth="1" min="18" max="18" width="11.0"/>
    <col customWidth="1" min="19" max="19" width="43.0"/>
    <col customWidth="1" min="20" max="20" width="23.0"/>
    <col customWidth="1" min="21" max="21" width="17.0"/>
    <col customWidth="1" min="22" max="26" width="8.57"/>
  </cols>
  <sheetData>
    <row r="1" ht="34.5" customHeight="1">
      <c r="A1" s="2" t="s">
        <v>332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6"/>
      <c r="S1" s="6"/>
      <c r="T1" s="6"/>
      <c r="U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ht="27.75" customHeight="1">
      <c r="A3" s="10" t="s">
        <v>333</v>
      </c>
      <c r="B3" s="10" t="s">
        <v>334</v>
      </c>
      <c r="C3" s="10" t="s">
        <v>335</v>
      </c>
      <c r="D3" s="10" t="s">
        <v>336</v>
      </c>
      <c r="E3" s="10" t="s">
        <v>337</v>
      </c>
      <c r="F3" s="10" t="s">
        <v>338</v>
      </c>
      <c r="G3" s="10" t="s">
        <v>339</v>
      </c>
      <c r="H3" s="10" t="s">
        <v>340</v>
      </c>
      <c r="I3" s="10" t="s">
        <v>341</v>
      </c>
      <c r="J3" s="10" t="s">
        <v>342</v>
      </c>
      <c r="K3" s="69" t="s">
        <v>343</v>
      </c>
      <c r="L3" s="69" t="s">
        <v>344</v>
      </c>
      <c r="M3" s="10" t="s">
        <v>345</v>
      </c>
      <c r="N3" s="10" t="s">
        <v>346</v>
      </c>
      <c r="O3" s="10" t="s">
        <v>347</v>
      </c>
      <c r="P3" s="10" t="s">
        <v>348</v>
      </c>
      <c r="Q3" s="69" t="s">
        <v>349</v>
      </c>
      <c r="R3" s="6"/>
      <c r="S3" s="82" t="s">
        <v>350</v>
      </c>
      <c r="T3" s="3"/>
      <c r="U3" s="4"/>
    </row>
    <row r="4" ht="15.0" customHeight="1">
      <c r="A4" s="13" t="s">
        <v>351</v>
      </c>
      <c r="B4" s="14">
        <v>46239.0</v>
      </c>
      <c r="C4" s="16" t="s">
        <v>125</v>
      </c>
      <c r="D4" s="16" t="s">
        <v>357</v>
      </c>
      <c r="E4" s="13" t="s">
        <v>33</v>
      </c>
      <c r="F4" s="16" t="s">
        <v>34</v>
      </c>
      <c r="G4" s="13" t="s">
        <v>98</v>
      </c>
      <c r="H4" s="16" t="s">
        <v>99</v>
      </c>
      <c r="I4" s="13" t="s">
        <v>358</v>
      </c>
      <c r="J4" s="24">
        <v>3000000.0</v>
      </c>
      <c r="K4" s="83">
        <f>VLOOKUP(C4, '1. Phân bổ Ngân sách'!$A$10:$H$23, 8, FALSE)</f>
        <v>8000000</v>
      </c>
      <c r="L4" s="84" t="str">
        <f t="shared" ref="L4:L103" si="1">IF(J4&gt;K4, "⚠️ VƯỢT QUÁ TỒN QUỸ", "🟢 AN TOÀN")</f>
        <v>🟢 AN TOÀN</v>
      </c>
      <c r="M4" s="84" t="s">
        <v>271</v>
      </c>
      <c r="N4" s="13" t="s">
        <v>359</v>
      </c>
      <c r="O4" s="13" t="s">
        <v>360</v>
      </c>
      <c r="P4" s="30">
        <f t="shared" ref="P4:P103" si="2">IF(M4="Đã duyệt", J4, 0)</f>
        <v>3000000</v>
      </c>
      <c r="Q4" s="71" t="s">
        <v>361</v>
      </c>
      <c r="R4" s="6"/>
      <c r="S4" s="69" t="s">
        <v>362</v>
      </c>
      <c r="T4" s="69" t="s">
        <v>343</v>
      </c>
      <c r="U4" s="69" t="s">
        <v>29</v>
      </c>
    </row>
    <row r="5" ht="15.0" customHeight="1">
      <c r="A5" s="13" t="s">
        <v>363</v>
      </c>
      <c r="B5" s="14">
        <v>46246.0</v>
      </c>
      <c r="C5" s="16" t="s">
        <v>136</v>
      </c>
      <c r="D5" s="16" t="s">
        <v>364</v>
      </c>
      <c r="E5" s="13" t="s">
        <v>103</v>
      </c>
      <c r="F5" s="16" t="s">
        <v>104</v>
      </c>
      <c r="G5" s="13" t="s">
        <v>98</v>
      </c>
      <c r="H5" s="16" t="s">
        <v>99</v>
      </c>
      <c r="I5" s="13" t="s">
        <v>104</v>
      </c>
      <c r="J5" s="24">
        <v>1500000.0</v>
      </c>
      <c r="K5" s="83">
        <f>VLOOKUP(C5, '1. Phân bổ Ngân sách'!$A$10:$H$23, 8, FALSE)</f>
        <v>15000000</v>
      </c>
      <c r="L5" s="84" t="str">
        <f t="shared" si="1"/>
        <v>🟢 AN TOÀN</v>
      </c>
      <c r="M5" s="84" t="s">
        <v>271</v>
      </c>
      <c r="N5" s="13" t="s">
        <v>365</v>
      </c>
      <c r="O5" s="13" t="s">
        <v>366</v>
      </c>
      <c r="P5" s="30">
        <f t="shared" si="2"/>
        <v>1500000</v>
      </c>
      <c r="Q5" s="71" t="s">
        <v>367</v>
      </c>
      <c r="R5" s="6"/>
      <c r="S5" s="16" t="str">
        <f>'1. Phân bổ Ngân sách'!A10</f>
        <v>Sale trực tiếp - Pro sale (Nguồn khách)</v>
      </c>
      <c r="T5" s="30">
        <f>'1. Phân bổ Ngân sách'!H10</f>
        <v>300000000</v>
      </c>
      <c r="U5" s="85" t="str">
        <f t="shared" ref="U5:U14" si="3">IF(T5&lt;0, "⚠️ HẾT QUỸ", "🟢 AN TOÀN")</f>
        <v>🟢 AN TOÀN</v>
      </c>
    </row>
    <row r="6" ht="15.0" customHeight="1">
      <c r="A6" s="13" t="s">
        <v>373</v>
      </c>
      <c r="B6" s="14">
        <v>46254.0</v>
      </c>
      <c r="C6" s="16" t="s">
        <v>134</v>
      </c>
      <c r="D6" s="16" t="s">
        <v>374</v>
      </c>
      <c r="E6" s="13" t="s">
        <v>33</v>
      </c>
      <c r="F6" s="16" t="s">
        <v>34</v>
      </c>
      <c r="G6" s="13" t="s">
        <v>98</v>
      </c>
      <c r="H6" s="16" t="s">
        <v>99</v>
      </c>
      <c r="I6" s="13" t="s">
        <v>99</v>
      </c>
      <c r="J6" s="24">
        <v>1.0E7</v>
      </c>
      <c r="K6" s="83">
        <f>VLOOKUP(C6, '1. Phân bổ Ngân sách'!$A$10:$H$23, 8, FALSE)</f>
        <v>34000000</v>
      </c>
      <c r="L6" s="84" t="str">
        <f t="shared" si="1"/>
        <v>🟢 AN TOÀN</v>
      </c>
      <c r="M6" s="84" t="s">
        <v>271</v>
      </c>
      <c r="N6" s="13" t="s">
        <v>375</v>
      </c>
      <c r="O6" s="13" t="s">
        <v>376</v>
      </c>
      <c r="P6" s="30">
        <f t="shared" si="2"/>
        <v>10000000</v>
      </c>
      <c r="Q6" s="71" t="s">
        <v>377</v>
      </c>
      <c r="R6" s="6"/>
      <c r="S6" s="16" t="str">
        <f>'1. Phân bổ Ngân sách'!A11</f>
        <v>Tri ân kết nối sale trực tiếp</v>
      </c>
      <c r="T6" s="30">
        <f>'1. Phân bổ Ngân sách'!H11</f>
        <v>50000000</v>
      </c>
      <c r="U6" s="85" t="str">
        <f t="shared" si="3"/>
        <v>🟢 AN TOÀN</v>
      </c>
    </row>
    <row r="7" ht="15.0" customHeight="1">
      <c r="A7" s="13" t="s">
        <v>378</v>
      </c>
      <c r="B7" s="14">
        <v>46259.0</v>
      </c>
      <c r="C7" s="16" t="s">
        <v>125</v>
      </c>
      <c r="D7" s="16" t="s">
        <v>379</v>
      </c>
      <c r="E7" s="13" t="s">
        <v>33</v>
      </c>
      <c r="F7" s="16" t="s">
        <v>34</v>
      </c>
      <c r="G7" s="13" t="s">
        <v>98</v>
      </c>
      <c r="H7" s="16" t="s">
        <v>99</v>
      </c>
      <c r="I7" s="13" t="s">
        <v>380</v>
      </c>
      <c r="J7" s="24">
        <v>3.0E7</v>
      </c>
      <c r="K7" s="83">
        <f>VLOOKUP(C7, '1. Phân bổ Ngân sách'!$A$10:$H$23, 8, FALSE)</f>
        <v>8000000</v>
      </c>
      <c r="L7" s="86" t="str">
        <f t="shared" si="1"/>
        <v>⚠️ VƯỢT QUÁ TỒN QUỸ</v>
      </c>
      <c r="M7" s="86" t="s">
        <v>126</v>
      </c>
      <c r="N7" s="13"/>
      <c r="O7" s="13"/>
      <c r="P7" s="30">
        <f t="shared" si="2"/>
        <v>0</v>
      </c>
      <c r="Q7" s="71"/>
      <c r="R7" s="6"/>
      <c r="S7" s="16" t="str">
        <f>'1. Phân bổ Ngân sách'!A12</f>
        <v>Tri ân hỗ trợ sale</v>
      </c>
      <c r="T7" s="30">
        <f>'1. Phân bổ Ngân sách'!H12</f>
        <v>25000000</v>
      </c>
      <c r="U7" s="85" t="str">
        <f t="shared" si="3"/>
        <v>🟢 AN TOÀN</v>
      </c>
    </row>
    <row r="8" ht="15.0" customHeight="1">
      <c r="A8" s="57" t="s">
        <v>381</v>
      </c>
      <c r="B8" s="58">
        <v>46260.0</v>
      </c>
      <c r="C8" s="60" t="s">
        <v>125</v>
      </c>
      <c r="D8" s="60" t="s">
        <v>382</v>
      </c>
      <c r="E8" s="57" t="s">
        <v>33</v>
      </c>
      <c r="F8" s="60" t="s">
        <v>34</v>
      </c>
      <c r="G8" s="57" t="s">
        <v>98</v>
      </c>
      <c r="H8" s="60" t="s">
        <v>99</v>
      </c>
      <c r="I8" s="60" t="s">
        <v>358</v>
      </c>
      <c r="J8" s="62">
        <v>2500000.0</v>
      </c>
      <c r="K8" s="83">
        <f>VLOOKUP(C8, '1. Phân bổ Ngân sách'!$A$10:$H$23, 8, FALSE)</f>
        <v>8000000</v>
      </c>
      <c r="L8" s="85" t="str">
        <f t="shared" si="1"/>
        <v>🟢 AN TOÀN</v>
      </c>
      <c r="M8" s="87" t="s">
        <v>126</v>
      </c>
      <c r="N8" s="88"/>
      <c r="O8" s="88"/>
      <c r="P8" s="30">
        <f t="shared" si="2"/>
        <v>0</v>
      </c>
      <c r="Q8" s="71"/>
      <c r="R8" s="6"/>
      <c r="S8" s="16" t="str">
        <f>'1. Phân bổ Ngân sách'!A13</f>
        <v>Quỹ Sự kiện &amp; Chốt hợp đồng</v>
      </c>
      <c r="T8" s="30">
        <f>'1. Phân bổ Ngân sách'!H13</f>
        <v>24500000</v>
      </c>
      <c r="U8" s="85" t="str">
        <f t="shared" si="3"/>
        <v>🟢 AN TOÀN</v>
      </c>
    </row>
    <row r="9" ht="15.0" customHeight="1">
      <c r="A9" s="57" t="s">
        <v>383</v>
      </c>
      <c r="B9" s="58">
        <v>46260.0</v>
      </c>
      <c r="C9" s="60" t="s">
        <v>136</v>
      </c>
      <c r="D9" s="60" t="s">
        <v>384</v>
      </c>
      <c r="E9" s="57" t="s">
        <v>108</v>
      </c>
      <c r="F9" s="60" t="s">
        <v>109</v>
      </c>
      <c r="G9" s="57" t="s">
        <v>98</v>
      </c>
      <c r="H9" s="60" t="s">
        <v>99</v>
      </c>
      <c r="I9" s="60" t="s">
        <v>109</v>
      </c>
      <c r="J9" s="62">
        <v>1.5E7</v>
      </c>
      <c r="K9" s="83">
        <f>VLOOKUP(C9, '1. Phân bổ Ngân sách'!$A$10:$H$23, 8, FALSE)</f>
        <v>15000000</v>
      </c>
      <c r="L9" s="85" t="str">
        <f t="shared" si="1"/>
        <v>🟢 AN TOÀN</v>
      </c>
      <c r="M9" s="87" t="s">
        <v>126</v>
      </c>
      <c r="N9" s="88"/>
      <c r="O9" s="88"/>
      <c r="P9" s="30">
        <f t="shared" si="2"/>
        <v>0</v>
      </c>
      <c r="Q9" s="71"/>
      <c r="R9" s="6"/>
      <c r="S9" s="16" t="str">
        <f>'1. Phân bổ Ngân sách'!A14</f>
        <v>Quỹ Chăm sóc khách hàng</v>
      </c>
      <c r="T9" s="30">
        <f>'1. Phân bổ Ngân sách'!H14</f>
        <v>8000000</v>
      </c>
      <c r="U9" s="85" t="str">
        <f t="shared" si="3"/>
        <v>🟢 AN TOÀN</v>
      </c>
    </row>
    <row r="10" ht="15.0" customHeight="1">
      <c r="A10" s="57" t="s">
        <v>390</v>
      </c>
      <c r="B10" s="58">
        <v>46261.0</v>
      </c>
      <c r="C10" s="60" t="s">
        <v>117</v>
      </c>
      <c r="D10" s="60" t="s">
        <v>391</v>
      </c>
      <c r="E10" s="57" t="s">
        <v>33</v>
      </c>
      <c r="F10" s="60" t="s">
        <v>34</v>
      </c>
      <c r="G10" s="57" t="s">
        <v>98</v>
      </c>
      <c r="H10" s="60" t="s">
        <v>99</v>
      </c>
      <c r="I10" s="60" t="s">
        <v>392</v>
      </c>
      <c r="J10" s="62">
        <v>5000000.0</v>
      </c>
      <c r="K10" s="83">
        <f>VLOOKUP(C10, '1. Phân bổ Ngân sách'!$A$10:$H$23, 8, FALSE)</f>
        <v>24500000</v>
      </c>
      <c r="L10" s="85" t="str">
        <f t="shared" si="1"/>
        <v>🟢 AN TOÀN</v>
      </c>
      <c r="M10" s="87" t="s">
        <v>126</v>
      </c>
      <c r="N10" s="88"/>
      <c r="O10" s="88"/>
      <c r="P10" s="30">
        <f t="shared" si="2"/>
        <v>0</v>
      </c>
      <c r="Q10" s="71"/>
      <c r="R10" s="6"/>
      <c r="S10" s="16" t="str">
        <f>'1. Phân bổ Ngân sách'!A15</f>
        <v>Quỹ Đào tạo Chuyên môn &amp; Kỹ năng</v>
      </c>
      <c r="T10" s="30">
        <f>'1. Phân bổ Ngân sách'!H15</f>
        <v>500000</v>
      </c>
      <c r="U10" s="85" t="str">
        <f t="shared" si="3"/>
        <v>🟢 AN TOÀN</v>
      </c>
    </row>
    <row r="11" ht="15.0" customHeight="1">
      <c r="A11" s="57" t="s">
        <v>393</v>
      </c>
      <c r="B11" s="58">
        <v>46261.0</v>
      </c>
      <c r="C11" s="60" t="s">
        <v>128</v>
      </c>
      <c r="D11" s="60" t="s">
        <v>394</v>
      </c>
      <c r="E11" s="57" t="s">
        <v>103</v>
      </c>
      <c r="F11" s="60" t="s">
        <v>104</v>
      </c>
      <c r="G11" s="57" t="s">
        <v>98</v>
      </c>
      <c r="H11" s="60" t="s">
        <v>99</v>
      </c>
      <c r="I11" s="60" t="s">
        <v>395</v>
      </c>
      <c r="J11" s="62">
        <v>1000000.0</v>
      </c>
      <c r="K11" s="83">
        <f>VLOOKUP(C11, '1. Phân bổ Ngân sách'!$A$10:$H$23, 8, FALSE)</f>
        <v>500000</v>
      </c>
      <c r="L11" s="85" t="str">
        <f t="shared" si="1"/>
        <v>⚠️ VƯỢT QUÁ TỒN QUỸ</v>
      </c>
      <c r="M11" s="87" t="s">
        <v>126</v>
      </c>
      <c r="N11" s="88"/>
      <c r="O11" s="88"/>
      <c r="P11" s="30">
        <f t="shared" si="2"/>
        <v>0</v>
      </c>
      <c r="Q11" s="71"/>
      <c r="R11" s="6"/>
      <c r="S11" s="16" t="str">
        <f>'1. Phân bổ Ngân sách'!A16</f>
        <v>Quỹ Thi đua &amp; Chương trình thúc đẩy</v>
      </c>
      <c r="T11" s="30">
        <f>'1. Phân bổ Ngân sách'!H16</f>
        <v>34000000</v>
      </c>
      <c r="U11" s="85" t="str">
        <f t="shared" si="3"/>
        <v>🟢 AN TOÀN</v>
      </c>
    </row>
    <row r="12" ht="15.0" customHeight="1">
      <c r="A12" s="57" t="s">
        <v>396</v>
      </c>
      <c r="B12" s="58">
        <v>46262.0</v>
      </c>
      <c r="C12" s="60" t="s">
        <v>139</v>
      </c>
      <c r="D12" s="60" t="s">
        <v>397</v>
      </c>
      <c r="E12" s="57" t="s">
        <v>113</v>
      </c>
      <c r="F12" s="60" t="s">
        <v>114</v>
      </c>
      <c r="G12" s="57" t="s">
        <v>98</v>
      </c>
      <c r="H12" s="60" t="s">
        <v>99</v>
      </c>
      <c r="I12" s="60" t="s">
        <v>398</v>
      </c>
      <c r="J12" s="62">
        <v>1800000.0</v>
      </c>
      <c r="K12" s="83">
        <f>VLOOKUP(C12, '1. Phân bổ Ngân sách'!$A$10:$H$23, 8, FALSE)</f>
        <v>282500000</v>
      </c>
      <c r="L12" s="85" t="str">
        <f t="shared" si="1"/>
        <v>🟢 AN TOÀN</v>
      </c>
      <c r="M12" s="87" t="s">
        <v>126</v>
      </c>
      <c r="N12" s="88"/>
      <c r="O12" s="88"/>
      <c r="P12" s="30">
        <f t="shared" si="2"/>
        <v>0</v>
      </c>
      <c r="Q12" s="71"/>
      <c r="R12" s="6"/>
      <c r="S12" s="16" t="str">
        <f>'1. Phân bổ Ngân sách'!A17</f>
        <v>Chi phí Công tác phí</v>
      </c>
      <c r="T12" s="30">
        <f>'1. Phân bổ Ngân sách'!H17</f>
        <v>15000000</v>
      </c>
      <c r="U12" s="85" t="str">
        <f t="shared" si="3"/>
        <v>🟢 AN TOÀN</v>
      </c>
    </row>
    <row r="13" ht="15.0" customHeight="1">
      <c r="A13" s="57" t="s">
        <v>399</v>
      </c>
      <c r="B13" s="58">
        <v>46262.0</v>
      </c>
      <c r="C13" s="60" t="s">
        <v>148</v>
      </c>
      <c r="D13" s="60" t="s">
        <v>400</v>
      </c>
      <c r="E13" s="57" t="s">
        <v>33</v>
      </c>
      <c r="F13" s="60" t="s">
        <v>34</v>
      </c>
      <c r="G13" s="57" t="s">
        <v>98</v>
      </c>
      <c r="H13" s="60" t="s">
        <v>99</v>
      </c>
      <c r="I13" s="60" t="s">
        <v>401</v>
      </c>
      <c r="J13" s="62">
        <v>5000000.0</v>
      </c>
      <c r="K13" s="83">
        <f>VLOOKUP(C13, '1. Phân bổ Ngân sách'!$A$10:$H$23, 8, FALSE)</f>
        <v>159500000</v>
      </c>
      <c r="L13" s="85" t="str">
        <f t="shared" si="1"/>
        <v>🟢 AN TOÀN</v>
      </c>
      <c r="M13" s="87" t="s">
        <v>126</v>
      </c>
      <c r="N13" s="88"/>
      <c r="O13" s="88"/>
      <c r="P13" s="30">
        <f t="shared" si="2"/>
        <v>0</v>
      </c>
      <c r="Q13" s="71"/>
      <c r="R13" s="6"/>
      <c r="S13" s="16" t="str">
        <f>'1. Phân bổ Ngân sách'!A19</f>
        <v>Leader team - giám đốc Kd</v>
      </c>
      <c r="T13" s="30">
        <f>'1. Phân bổ Ngân sách'!H19</f>
        <v>159500000</v>
      </c>
      <c r="U13" s="85" t="str">
        <f t="shared" si="3"/>
        <v>🟢 AN TOÀN</v>
      </c>
    </row>
    <row r="14" ht="15.0" customHeight="1">
      <c r="A14" s="57" t="s">
        <v>402</v>
      </c>
      <c r="B14" s="58">
        <v>46262.0</v>
      </c>
      <c r="C14" s="60" t="s">
        <v>134</v>
      </c>
      <c r="D14" s="60" t="s">
        <v>403</v>
      </c>
      <c r="E14" s="57" t="s">
        <v>33</v>
      </c>
      <c r="F14" s="60" t="s">
        <v>34</v>
      </c>
      <c r="G14" s="57" t="s">
        <v>98</v>
      </c>
      <c r="H14" s="60" t="s">
        <v>99</v>
      </c>
      <c r="I14" s="60" t="s">
        <v>406</v>
      </c>
      <c r="J14" s="62">
        <v>4000000.0</v>
      </c>
      <c r="K14" s="83">
        <f>VLOOKUP(C14, '1. Phân bổ Ngân sách'!$A$10:$H$23, 8, FALSE)</f>
        <v>34000000</v>
      </c>
      <c r="L14" s="85" t="str">
        <f t="shared" si="1"/>
        <v>🟢 AN TOÀN</v>
      </c>
      <c r="M14" s="87" t="s">
        <v>126</v>
      </c>
      <c r="N14" s="88"/>
      <c r="O14" s="88"/>
      <c r="P14" s="30">
        <f t="shared" si="2"/>
        <v>0</v>
      </c>
      <c r="Q14" s="71"/>
      <c r="R14" s="6"/>
      <c r="S14" s="16" t="str">
        <f>'1. Phân bổ Ngân sách'!A18</f>
        <v>Quỹ Vận hành &amp; Bộ phận hỗ trợ</v>
      </c>
      <c r="T14" s="30">
        <f>'1. Phân bổ Ngân sách'!H18</f>
        <v>282500000</v>
      </c>
      <c r="U14" s="85" t="str">
        <f t="shared" si="3"/>
        <v>🟢 AN TOÀN</v>
      </c>
    </row>
    <row r="15" ht="15.0" customHeight="1">
      <c r="A15" s="76"/>
      <c r="B15" s="76"/>
      <c r="C15" s="77"/>
      <c r="D15" s="77"/>
      <c r="E15" s="76"/>
      <c r="F15" s="77"/>
      <c r="G15" s="76"/>
      <c r="H15" s="77"/>
      <c r="I15" s="76"/>
      <c r="J15" s="78"/>
      <c r="K15" s="83" t="str">
        <f>VLOOKUP(C15, '1. Phân bổ Ngân sách'!$A$10:$F$23, 6, FALSE())</f>
        <v>#N/A</v>
      </c>
      <c r="L15" s="85" t="str">
        <f t="shared" si="1"/>
        <v>#N/A</v>
      </c>
      <c r="M15" s="13"/>
      <c r="N15" s="88"/>
      <c r="O15" s="88"/>
      <c r="P15" s="30">
        <f t="shared" si="2"/>
        <v>0</v>
      </c>
      <c r="Q15" s="71"/>
      <c r="R15" s="6"/>
      <c r="S15" s="79" t="s">
        <v>408</v>
      </c>
      <c r="T15" s="52">
        <f>SUM(T5:T14)</f>
        <v>899000000</v>
      </c>
      <c r="U15" s="49" t="s">
        <v>409</v>
      </c>
    </row>
    <row r="16" ht="15.0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83" t="str">
        <f>VLOOKUP(C16, '1. Phân bổ Ngân sách'!$A$10:$F$23, 6, FALSE())</f>
        <v>#N/A</v>
      </c>
      <c r="L16" s="85" t="str">
        <f t="shared" si="1"/>
        <v>#N/A</v>
      </c>
      <c r="M16" s="13"/>
      <c r="N16" s="88"/>
      <c r="O16" s="88"/>
      <c r="P16" s="30">
        <f t="shared" si="2"/>
        <v>0</v>
      </c>
      <c r="Q16" s="71"/>
      <c r="R16" s="6"/>
      <c r="S16" s="6"/>
      <c r="T16" s="6"/>
      <c r="U16" s="6"/>
    </row>
    <row r="17" ht="15.0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83" t="str">
        <f>VLOOKUP(C17, '1. Phân bổ Ngân sách'!$A$10:$F$23, 6, FALSE())</f>
        <v>#N/A</v>
      </c>
      <c r="L17" s="85" t="str">
        <f t="shared" si="1"/>
        <v>#N/A</v>
      </c>
      <c r="M17" s="13"/>
      <c r="N17" s="88"/>
      <c r="O17" s="88"/>
      <c r="P17" s="30">
        <f t="shared" si="2"/>
        <v>0</v>
      </c>
      <c r="Q17" s="71"/>
      <c r="R17" s="6"/>
      <c r="S17" s="6"/>
      <c r="T17" s="6"/>
      <c r="U17" s="6"/>
    </row>
    <row r="18" ht="15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83" t="str">
        <f>VLOOKUP(C18, '1. Phân bổ Ngân sách'!$A$10:$F$23, 6, FALSE())</f>
        <v>#N/A</v>
      </c>
      <c r="L18" s="85" t="str">
        <f t="shared" si="1"/>
        <v>#N/A</v>
      </c>
      <c r="M18" s="13"/>
      <c r="N18" s="88"/>
      <c r="O18" s="88"/>
      <c r="P18" s="30">
        <f t="shared" si="2"/>
        <v>0</v>
      </c>
      <c r="Q18" s="71"/>
      <c r="R18" s="6"/>
      <c r="S18" s="6"/>
      <c r="T18" s="6"/>
      <c r="U18" s="6"/>
    </row>
    <row r="19" ht="15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83" t="str">
        <f>VLOOKUP(C19, '1. Phân bổ Ngân sách'!$A$10:$F$23, 6, FALSE())</f>
        <v>#N/A</v>
      </c>
      <c r="L19" s="85" t="str">
        <f t="shared" si="1"/>
        <v>#N/A</v>
      </c>
      <c r="M19" s="13"/>
      <c r="N19" s="88"/>
      <c r="O19" s="88"/>
      <c r="P19" s="30">
        <f t="shared" si="2"/>
        <v>0</v>
      </c>
      <c r="Q19" s="71"/>
      <c r="R19" s="6"/>
      <c r="S19" s="6"/>
      <c r="T19" s="6"/>
      <c r="U19" s="6"/>
    </row>
    <row r="20" ht="15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83" t="str">
        <f>VLOOKUP(C20, '1. Phân bổ Ngân sách'!$A$10:$F$23, 6, FALSE())</f>
        <v>#N/A</v>
      </c>
      <c r="L20" s="85" t="str">
        <f t="shared" si="1"/>
        <v>#N/A</v>
      </c>
      <c r="M20" s="13"/>
      <c r="N20" s="88"/>
      <c r="O20" s="88"/>
      <c r="P20" s="30">
        <f t="shared" si="2"/>
        <v>0</v>
      </c>
      <c r="Q20" s="71"/>
      <c r="R20" s="6"/>
      <c r="S20" s="6"/>
      <c r="T20" s="6"/>
      <c r="U20" s="6"/>
    </row>
    <row r="21" ht="15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83" t="str">
        <f>VLOOKUP(C21, '1. Phân bổ Ngân sách'!$A$10:$F$23, 6, FALSE())</f>
        <v>#N/A</v>
      </c>
      <c r="L21" s="85" t="str">
        <f t="shared" si="1"/>
        <v>#N/A</v>
      </c>
      <c r="M21" s="13"/>
      <c r="N21" s="88"/>
      <c r="O21" s="88"/>
      <c r="P21" s="30">
        <f t="shared" si="2"/>
        <v>0</v>
      </c>
      <c r="Q21" s="71"/>
      <c r="R21" s="6"/>
      <c r="S21" s="6"/>
      <c r="T21" s="6"/>
      <c r="U21" s="6"/>
    </row>
    <row r="22" ht="15.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83" t="str">
        <f>VLOOKUP(C22, '1. Phân bổ Ngân sách'!$A$10:$F$23, 6, FALSE())</f>
        <v>#N/A</v>
      </c>
      <c r="L22" s="85" t="str">
        <f t="shared" si="1"/>
        <v>#N/A</v>
      </c>
      <c r="M22" s="13"/>
      <c r="N22" s="88"/>
      <c r="O22" s="88"/>
      <c r="P22" s="30">
        <f t="shared" si="2"/>
        <v>0</v>
      </c>
      <c r="Q22" s="71"/>
      <c r="R22" s="6"/>
      <c r="S22" s="6"/>
      <c r="T22" s="6"/>
      <c r="U22" s="6"/>
    </row>
    <row r="23" ht="15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83" t="str">
        <f>VLOOKUP(C23, '1. Phân bổ Ngân sách'!$A$10:$F$23, 6, FALSE())</f>
        <v>#N/A</v>
      </c>
      <c r="L23" s="85" t="str">
        <f t="shared" si="1"/>
        <v>#N/A</v>
      </c>
      <c r="M23" s="13"/>
      <c r="N23" s="88"/>
      <c r="O23" s="88"/>
      <c r="P23" s="30">
        <f t="shared" si="2"/>
        <v>0</v>
      </c>
      <c r="Q23" s="71"/>
      <c r="R23" s="6"/>
      <c r="S23" s="6"/>
      <c r="T23" s="6"/>
      <c r="U23" s="6"/>
    </row>
    <row r="24" ht="15.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83" t="str">
        <f>VLOOKUP(C24, '1. Phân bổ Ngân sách'!$A$10:$F$23, 6, FALSE())</f>
        <v>#N/A</v>
      </c>
      <c r="L24" s="85" t="str">
        <f t="shared" si="1"/>
        <v>#N/A</v>
      </c>
      <c r="M24" s="13"/>
      <c r="N24" s="88"/>
      <c r="O24" s="88"/>
      <c r="P24" s="30">
        <f t="shared" si="2"/>
        <v>0</v>
      </c>
      <c r="Q24" s="71"/>
      <c r="R24" s="6"/>
      <c r="S24" s="6"/>
      <c r="T24" s="6"/>
      <c r="U24" s="6"/>
    </row>
    <row r="25" ht="15.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83" t="str">
        <f>VLOOKUP(C25, '1. Phân bổ Ngân sách'!$A$10:$F$23, 6, FALSE())</f>
        <v>#N/A</v>
      </c>
      <c r="L25" s="85" t="str">
        <f t="shared" si="1"/>
        <v>#N/A</v>
      </c>
      <c r="M25" s="13"/>
      <c r="N25" s="88"/>
      <c r="O25" s="88"/>
      <c r="P25" s="30">
        <f t="shared" si="2"/>
        <v>0</v>
      </c>
      <c r="Q25" s="71"/>
      <c r="R25" s="6"/>
      <c r="S25" s="6"/>
      <c r="T25" s="6"/>
      <c r="U25" s="6"/>
    </row>
    <row r="26" ht="15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83" t="str">
        <f>VLOOKUP(C26, '1. Phân bổ Ngân sách'!$A$10:$F$23, 6, FALSE())</f>
        <v>#N/A</v>
      </c>
      <c r="L26" s="85" t="str">
        <f t="shared" si="1"/>
        <v>#N/A</v>
      </c>
      <c r="M26" s="13"/>
      <c r="N26" s="88"/>
      <c r="O26" s="88"/>
      <c r="P26" s="30">
        <f t="shared" si="2"/>
        <v>0</v>
      </c>
      <c r="Q26" s="71"/>
      <c r="R26" s="6"/>
      <c r="S26" s="6"/>
      <c r="T26" s="6"/>
      <c r="U26" s="6"/>
    </row>
    <row r="27" ht="15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83" t="str">
        <f>VLOOKUP(C27, '1. Phân bổ Ngân sách'!$A$10:$F$23, 6, FALSE())</f>
        <v>#N/A</v>
      </c>
      <c r="L27" s="85" t="str">
        <f t="shared" si="1"/>
        <v>#N/A</v>
      </c>
      <c r="M27" s="13"/>
      <c r="N27" s="88"/>
      <c r="O27" s="88"/>
      <c r="P27" s="30">
        <f t="shared" si="2"/>
        <v>0</v>
      </c>
      <c r="Q27" s="71"/>
      <c r="R27" s="6"/>
      <c r="S27" s="6"/>
      <c r="T27" s="6"/>
      <c r="U27" s="6"/>
    </row>
    <row r="28" ht="15.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83" t="str">
        <f>VLOOKUP(C28, '1. Phân bổ Ngân sách'!$A$10:$F$23, 6, FALSE())</f>
        <v>#N/A</v>
      </c>
      <c r="L28" s="85" t="str">
        <f t="shared" si="1"/>
        <v>#N/A</v>
      </c>
      <c r="M28" s="13"/>
      <c r="N28" s="88"/>
      <c r="O28" s="88"/>
      <c r="P28" s="30">
        <f t="shared" si="2"/>
        <v>0</v>
      </c>
      <c r="Q28" s="71"/>
      <c r="R28" s="6"/>
      <c r="S28" s="6"/>
      <c r="T28" s="6"/>
      <c r="U28" s="6"/>
    </row>
    <row r="29" ht="15.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83" t="str">
        <f>VLOOKUP(C29, '1. Phân bổ Ngân sách'!$A$10:$F$23, 6, FALSE())</f>
        <v>#N/A</v>
      </c>
      <c r="L29" s="85" t="str">
        <f t="shared" si="1"/>
        <v>#N/A</v>
      </c>
      <c r="M29" s="13"/>
      <c r="N29" s="88"/>
      <c r="O29" s="88"/>
      <c r="P29" s="30">
        <f t="shared" si="2"/>
        <v>0</v>
      </c>
      <c r="Q29" s="71"/>
      <c r="R29" s="6"/>
      <c r="S29" s="6"/>
      <c r="T29" s="6"/>
      <c r="U29" s="6"/>
    </row>
    <row r="30" ht="15.0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83" t="str">
        <f>VLOOKUP(C30, '1. Phân bổ Ngân sách'!$A$10:$F$23, 6, FALSE())</f>
        <v>#N/A</v>
      </c>
      <c r="L30" s="85" t="str">
        <f t="shared" si="1"/>
        <v>#N/A</v>
      </c>
      <c r="M30" s="13"/>
      <c r="N30" s="88"/>
      <c r="O30" s="88"/>
      <c r="P30" s="30">
        <f t="shared" si="2"/>
        <v>0</v>
      </c>
      <c r="Q30" s="71"/>
      <c r="R30" s="6"/>
      <c r="S30" s="6"/>
      <c r="T30" s="6"/>
      <c r="U30" s="6"/>
    </row>
    <row r="31" ht="15.0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83" t="str">
        <f>VLOOKUP(C31, '1. Phân bổ Ngân sách'!$A$10:$F$23, 6, FALSE())</f>
        <v>#N/A</v>
      </c>
      <c r="L31" s="85" t="str">
        <f t="shared" si="1"/>
        <v>#N/A</v>
      </c>
      <c r="M31" s="13"/>
      <c r="N31" s="88"/>
      <c r="O31" s="88"/>
      <c r="P31" s="30">
        <f t="shared" si="2"/>
        <v>0</v>
      </c>
      <c r="Q31" s="71"/>
      <c r="R31" s="6"/>
      <c r="S31" s="6"/>
      <c r="T31" s="6"/>
      <c r="U31" s="6"/>
    </row>
    <row r="32" ht="15.0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83" t="str">
        <f>VLOOKUP(C32, '1. Phân bổ Ngân sách'!$A$10:$F$23, 6, FALSE())</f>
        <v>#N/A</v>
      </c>
      <c r="L32" s="85" t="str">
        <f t="shared" si="1"/>
        <v>#N/A</v>
      </c>
      <c r="M32" s="13"/>
      <c r="N32" s="88"/>
      <c r="O32" s="88"/>
      <c r="P32" s="30">
        <f t="shared" si="2"/>
        <v>0</v>
      </c>
      <c r="Q32" s="71"/>
      <c r="R32" s="6"/>
      <c r="S32" s="6"/>
      <c r="T32" s="6"/>
      <c r="U32" s="6"/>
    </row>
    <row r="33" ht="15.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83" t="str">
        <f>VLOOKUP(C33, '1. Phân bổ Ngân sách'!$A$10:$F$23, 6, FALSE())</f>
        <v>#N/A</v>
      </c>
      <c r="L33" s="85" t="str">
        <f t="shared" si="1"/>
        <v>#N/A</v>
      </c>
      <c r="M33" s="13"/>
      <c r="N33" s="88"/>
      <c r="O33" s="88"/>
      <c r="P33" s="30">
        <f t="shared" si="2"/>
        <v>0</v>
      </c>
      <c r="Q33" s="71"/>
      <c r="R33" s="6"/>
      <c r="S33" s="6"/>
      <c r="T33" s="6"/>
      <c r="U33" s="6"/>
    </row>
    <row r="34" ht="15.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83" t="str">
        <f>VLOOKUP(C34, '1. Phân bổ Ngân sách'!$A$10:$F$23, 6, FALSE())</f>
        <v>#N/A</v>
      </c>
      <c r="L34" s="85" t="str">
        <f t="shared" si="1"/>
        <v>#N/A</v>
      </c>
      <c r="M34" s="13"/>
      <c r="N34" s="88"/>
      <c r="O34" s="88"/>
      <c r="P34" s="30">
        <f t="shared" si="2"/>
        <v>0</v>
      </c>
      <c r="Q34" s="71"/>
      <c r="R34" s="6"/>
      <c r="S34" s="6"/>
      <c r="T34" s="6"/>
      <c r="U34" s="6"/>
    </row>
    <row r="35" ht="15.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83" t="str">
        <f>VLOOKUP(C35, '1. Phân bổ Ngân sách'!$A$10:$F$23, 6, FALSE())</f>
        <v>#N/A</v>
      </c>
      <c r="L35" s="85" t="str">
        <f t="shared" si="1"/>
        <v>#N/A</v>
      </c>
      <c r="M35" s="13"/>
      <c r="N35" s="88"/>
      <c r="O35" s="88"/>
      <c r="P35" s="30">
        <f t="shared" si="2"/>
        <v>0</v>
      </c>
      <c r="Q35" s="71"/>
      <c r="R35" s="6"/>
      <c r="S35" s="6"/>
      <c r="T35" s="6"/>
      <c r="U35" s="6"/>
    </row>
    <row r="36" ht="15.0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83" t="str">
        <f>VLOOKUP(C36, '1. Phân bổ Ngân sách'!$A$10:$F$23, 6, FALSE())</f>
        <v>#N/A</v>
      </c>
      <c r="L36" s="85" t="str">
        <f t="shared" si="1"/>
        <v>#N/A</v>
      </c>
      <c r="M36" s="13"/>
      <c r="N36" s="88"/>
      <c r="O36" s="88"/>
      <c r="P36" s="30">
        <f t="shared" si="2"/>
        <v>0</v>
      </c>
      <c r="Q36" s="71"/>
      <c r="R36" s="6"/>
      <c r="S36" s="6"/>
      <c r="T36" s="6"/>
      <c r="U36" s="6"/>
    </row>
    <row r="37" ht="15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83" t="str">
        <f>VLOOKUP(C37, '1. Phân bổ Ngân sách'!$A$10:$F$23, 6, FALSE())</f>
        <v>#N/A</v>
      </c>
      <c r="L37" s="85" t="str">
        <f t="shared" si="1"/>
        <v>#N/A</v>
      </c>
      <c r="M37" s="13"/>
      <c r="N37" s="88"/>
      <c r="O37" s="88"/>
      <c r="P37" s="30">
        <f t="shared" si="2"/>
        <v>0</v>
      </c>
      <c r="Q37" s="71"/>
      <c r="R37" s="6"/>
      <c r="S37" s="6"/>
      <c r="T37" s="6"/>
      <c r="U37" s="6"/>
    </row>
    <row r="38" ht="15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83" t="str">
        <f>VLOOKUP(C38, '1. Phân bổ Ngân sách'!$A$10:$F$23, 6, FALSE())</f>
        <v>#N/A</v>
      </c>
      <c r="L38" s="85" t="str">
        <f t="shared" si="1"/>
        <v>#N/A</v>
      </c>
      <c r="M38" s="13"/>
      <c r="N38" s="88"/>
      <c r="O38" s="88"/>
      <c r="P38" s="30">
        <f t="shared" si="2"/>
        <v>0</v>
      </c>
      <c r="Q38" s="71"/>
      <c r="R38" s="6"/>
      <c r="S38" s="6"/>
      <c r="T38" s="6"/>
      <c r="U38" s="6"/>
    </row>
    <row r="39" ht="15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83" t="str">
        <f>VLOOKUP(C39, '1. Phân bổ Ngân sách'!$A$10:$F$23, 6, FALSE())</f>
        <v>#N/A</v>
      </c>
      <c r="L39" s="85" t="str">
        <f t="shared" si="1"/>
        <v>#N/A</v>
      </c>
      <c r="M39" s="13"/>
      <c r="N39" s="88"/>
      <c r="O39" s="88"/>
      <c r="P39" s="30">
        <f t="shared" si="2"/>
        <v>0</v>
      </c>
      <c r="Q39" s="71"/>
      <c r="R39" s="6"/>
      <c r="S39" s="6"/>
      <c r="T39" s="6"/>
      <c r="U39" s="6"/>
    </row>
    <row r="40" ht="15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83" t="str">
        <f>VLOOKUP(C40, '1. Phân bổ Ngân sách'!$A$10:$F$23, 6, FALSE())</f>
        <v>#N/A</v>
      </c>
      <c r="L40" s="85" t="str">
        <f t="shared" si="1"/>
        <v>#N/A</v>
      </c>
      <c r="M40" s="13"/>
      <c r="N40" s="88"/>
      <c r="O40" s="88"/>
      <c r="P40" s="30">
        <f t="shared" si="2"/>
        <v>0</v>
      </c>
      <c r="Q40" s="71"/>
      <c r="R40" s="6"/>
      <c r="S40" s="6"/>
      <c r="T40" s="6"/>
      <c r="U40" s="6"/>
    </row>
    <row r="41" ht="15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83" t="str">
        <f>VLOOKUP(C41, '1. Phân bổ Ngân sách'!$A$10:$F$23, 6, FALSE())</f>
        <v>#N/A</v>
      </c>
      <c r="L41" s="85" t="str">
        <f t="shared" si="1"/>
        <v>#N/A</v>
      </c>
      <c r="M41" s="13"/>
      <c r="N41" s="88"/>
      <c r="O41" s="88"/>
      <c r="P41" s="30">
        <f t="shared" si="2"/>
        <v>0</v>
      </c>
      <c r="Q41" s="71"/>
      <c r="R41" s="6"/>
      <c r="S41" s="6"/>
      <c r="T41" s="6"/>
      <c r="U41" s="6"/>
    </row>
    <row r="42" ht="15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83" t="str">
        <f>VLOOKUP(C42, '1. Phân bổ Ngân sách'!$A$10:$F$23, 6, FALSE())</f>
        <v>#N/A</v>
      </c>
      <c r="L42" s="85" t="str">
        <f t="shared" si="1"/>
        <v>#N/A</v>
      </c>
      <c r="M42" s="13"/>
      <c r="N42" s="88"/>
      <c r="O42" s="88"/>
      <c r="P42" s="30">
        <f t="shared" si="2"/>
        <v>0</v>
      </c>
      <c r="Q42" s="71"/>
      <c r="R42" s="6"/>
      <c r="S42" s="6"/>
      <c r="T42" s="6"/>
      <c r="U42" s="6"/>
    </row>
    <row r="43" ht="15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83" t="str">
        <f>VLOOKUP(C43, '1. Phân bổ Ngân sách'!$A$10:$F$23, 6, FALSE())</f>
        <v>#N/A</v>
      </c>
      <c r="L43" s="85" t="str">
        <f t="shared" si="1"/>
        <v>#N/A</v>
      </c>
      <c r="M43" s="13"/>
      <c r="N43" s="88"/>
      <c r="O43" s="88"/>
      <c r="P43" s="30">
        <f t="shared" si="2"/>
        <v>0</v>
      </c>
      <c r="Q43" s="71"/>
      <c r="R43" s="6"/>
      <c r="S43" s="6"/>
      <c r="T43" s="6"/>
      <c r="U43" s="6"/>
    </row>
    <row r="44" ht="15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83" t="str">
        <f>VLOOKUP(C44, '1. Phân bổ Ngân sách'!$A$10:$F$23, 6, FALSE())</f>
        <v>#N/A</v>
      </c>
      <c r="L44" s="85" t="str">
        <f t="shared" si="1"/>
        <v>#N/A</v>
      </c>
      <c r="M44" s="13"/>
      <c r="N44" s="88"/>
      <c r="O44" s="88"/>
      <c r="P44" s="30">
        <f t="shared" si="2"/>
        <v>0</v>
      </c>
      <c r="Q44" s="71"/>
      <c r="R44" s="6"/>
      <c r="S44" s="6"/>
      <c r="T44" s="6"/>
      <c r="U44" s="6"/>
    </row>
    <row r="45" ht="15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83" t="str">
        <f>VLOOKUP(C45, '1. Phân bổ Ngân sách'!$A$10:$F$23, 6, FALSE())</f>
        <v>#N/A</v>
      </c>
      <c r="L45" s="85" t="str">
        <f t="shared" si="1"/>
        <v>#N/A</v>
      </c>
      <c r="M45" s="13"/>
      <c r="N45" s="88"/>
      <c r="O45" s="88"/>
      <c r="P45" s="30">
        <f t="shared" si="2"/>
        <v>0</v>
      </c>
      <c r="Q45" s="71"/>
      <c r="R45" s="6"/>
      <c r="S45" s="6"/>
      <c r="T45" s="6"/>
      <c r="U45" s="6"/>
    </row>
    <row r="46" ht="15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83" t="str">
        <f>VLOOKUP(C46, '1. Phân bổ Ngân sách'!$A$10:$F$23, 6, FALSE())</f>
        <v>#N/A</v>
      </c>
      <c r="L46" s="85" t="str">
        <f t="shared" si="1"/>
        <v>#N/A</v>
      </c>
      <c r="M46" s="13"/>
      <c r="N46" s="88"/>
      <c r="O46" s="88"/>
      <c r="P46" s="30">
        <f t="shared" si="2"/>
        <v>0</v>
      </c>
      <c r="Q46" s="71"/>
      <c r="R46" s="6"/>
      <c r="S46" s="6"/>
      <c r="T46" s="6"/>
      <c r="U46" s="6"/>
    </row>
    <row r="47" ht="15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83" t="str">
        <f>VLOOKUP(C47, '1. Phân bổ Ngân sách'!$A$10:$F$23, 6, FALSE())</f>
        <v>#N/A</v>
      </c>
      <c r="L47" s="85" t="str">
        <f t="shared" si="1"/>
        <v>#N/A</v>
      </c>
      <c r="M47" s="13"/>
      <c r="N47" s="88"/>
      <c r="O47" s="88"/>
      <c r="P47" s="30">
        <f t="shared" si="2"/>
        <v>0</v>
      </c>
      <c r="Q47" s="71"/>
      <c r="R47" s="6"/>
      <c r="S47" s="6"/>
      <c r="T47" s="6"/>
      <c r="U47" s="6"/>
    </row>
    <row r="48" ht="15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83" t="str">
        <f>VLOOKUP(C48, '1. Phân bổ Ngân sách'!$A$10:$F$23, 6, FALSE())</f>
        <v>#N/A</v>
      </c>
      <c r="L48" s="85" t="str">
        <f t="shared" si="1"/>
        <v>#N/A</v>
      </c>
      <c r="M48" s="13"/>
      <c r="N48" s="88"/>
      <c r="O48" s="88"/>
      <c r="P48" s="30">
        <f t="shared" si="2"/>
        <v>0</v>
      </c>
      <c r="Q48" s="71"/>
      <c r="R48" s="6"/>
      <c r="S48" s="6"/>
      <c r="T48" s="6"/>
      <c r="U48" s="6"/>
    </row>
    <row r="49" ht="15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83" t="str">
        <f>VLOOKUP(C49, '1. Phân bổ Ngân sách'!$A$10:$F$23, 6, FALSE())</f>
        <v>#N/A</v>
      </c>
      <c r="L49" s="85" t="str">
        <f t="shared" si="1"/>
        <v>#N/A</v>
      </c>
      <c r="M49" s="13"/>
      <c r="N49" s="88"/>
      <c r="O49" s="88"/>
      <c r="P49" s="30">
        <f t="shared" si="2"/>
        <v>0</v>
      </c>
      <c r="Q49" s="71"/>
      <c r="R49" s="6"/>
      <c r="S49" s="6"/>
      <c r="T49" s="6"/>
      <c r="U49" s="6"/>
    </row>
    <row r="50" ht="15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83" t="str">
        <f>VLOOKUP(C50, '1. Phân bổ Ngân sách'!$A$10:$F$23, 6, FALSE())</f>
        <v>#N/A</v>
      </c>
      <c r="L50" s="85" t="str">
        <f t="shared" si="1"/>
        <v>#N/A</v>
      </c>
      <c r="M50" s="13"/>
      <c r="N50" s="88"/>
      <c r="O50" s="88"/>
      <c r="P50" s="30">
        <f t="shared" si="2"/>
        <v>0</v>
      </c>
      <c r="Q50" s="71"/>
      <c r="R50" s="6"/>
      <c r="S50" s="6"/>
      <c r="T50" s="6"/>
      <c r="U50" s="6"/>
    </row>
    <row r="51" ht="15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83" t="str">
        <f>VLOOKUP(C51, '1. Phân bổ Ngân sách'!$A$10:$F$23, 6, FALSE())</f>
        <v>#N/A</v>
      </c>
      <c r="L51" s="85" t="str">
        <f t="shared" si="1"/>
        <v>#N/A</v>
      </c>
      <c r="M51" s="13"/>
      <c r="N51" s="88"/>
      <c r="O51" s="88"/>
      <c r="P51" s="30">
        <f t="shared" si="2"/>
        <v>0</v>
      </c>
      <c r="Q51" s="71"/>
      <c r="R51" s="6"/>
      <c r="S51" s="6"/>
      <c r="T51" s="6"/>
      <c r="U51" s="6"/>
    </row>
    <row r="52" ht="15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83" t="str">
        <f>VLOOKUP(C52, '1. Phân bổ Ngân sách'!$A$10:$F$23, 6, FALSE())</f>
        <v>#N/A</v>
      </c>
      <c r="L52" s="85" t="str">
        <f t="shared" si="1"/>
        <v>#N/A</v>
      </c>
      <c r="M52" s="13"/>
      <c r="N52" s="88"/>
      <c r="O52" s="88"/>
      <c r="P52" s="30">
        <f t="shared" si="2"/>
        <v>0</v>
      </c>
      <c r="Q52" s="71"/>
      <c r="R52" s="6"/>
      <c r="S52" s="6"/>
      <c r="T52" s="6"/>
      <c r="U52" s="6"/>
    </row>
    <row r="53" ht="15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83" t="str">
        <f>VLOOKUP(C53, '1. Phân bổ Ngân sách'!$A$10:$F$23, 6, FALSE())</f>
        <v>#N/A</v>
      </c>
      <c r="L53" s="85" t="str">
        <f t="shared" si="1"/>
        <v>#N/A</v>
      </c>
      <c r="M53" s="13"/>
      <c r="N53" s="88"/>
      <c r="O53" s="88"/>
      <c r="P53" s="30">
        <f t="shared" si="2"/>
        <v>0</v>
      </c>
      <c r="Q53" s="71"/>
      <c r="R53" s="6"/>
      <c r="S53" s="6"/>
      <c r="T53" s="6"/>
      <c r="U53" s="6"/>
    </row>
    <row r="54" ht="15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83" t="str">
        <f>VLOOKUP(C54, '1. Phân bổ Ngân sách'!$A$10:$F$23, 6, FALSE())</f>
        <v>#N/A</v>
      </c>
      <c r="L54" s="85" t="str">
        <f t="shared" si="1"/>
        <v>#N/A</v>
      </c>
      <c r="M54" s="13"/>
      <c r="N54" s="88"/>
      <c r="O54" s="88"/>
      <c r="P54" s="30">
        <f t="shared" si="2"/>
        <v>0</v>
      </c>
      <c r="Q54" s="71"/>
      <c r="R54" s="6"/>
      <c r="S54" s="6"/>
      <c r="T54" s="6"/>
      <c r="U54" s="6"/>
    </row>
    <row r="55" ht="15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83" t="str">
        <f>VLOOKUP(C55, '1. Phân bổ Ngân sách'!$A$10:$F$23, 6, FALSE())</f>
        <v>#N/A</v>
      </c>
      <c r="L55" s="85" t="str">
        <f t="shared" si="1"/>
        <v>#N/A</v>
      </c>
      <c r="M55" s="13"/>
      <c r="N55" s="88"/>
      <c r="O55" s="88"/>
      <c r="P55" s="30">
        <f t="shared" si="2"/>
        <v>0</v>
      </c>
      <c r="Q55" s="71"/>
      <c r="R55" s="6"/>
      <c r="S55" s="6"/>
      <c r="T55" s="6"/>
      <c r="U55" s="6"/>
    </row>
    <row r="56" ht="15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83" t="str">
        <f>VLOOKUP(C56, '1. Phân bổ Ngân sách'!$A$10:$F$23, 6, FALSE())</f>
        <v>#N/A</v>
      </c>
      <c r="L56" s="85" t="str">
        <f t="shared" si="1"/>
        <v>#N/A</v>
      </c>
      <c r="M56" s="13"/>
      <c r="N56" s="88"/>
      <c r="O56" s="88"/>
      <c r="P56" s="30">
        <f t="shared" si="2"/>
        <v>0</v>
      </c>
      <c r="Q56" s="71"/>
      <c r="R56" s="6"/>
      <c r="S56" s="6"/>
      <c r="T56" s="6"/>
      <c r="U56" s="6"/>
    </row>
    <row r="57" ht="15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83" t="str">
        <f>VLOOKUP(C57, '1. Phân bổ Ngân sách'!$A$10:$F$23, 6, FALSE())</f>
        <v>#N/A</v>
      </c>
      <c r="L57" s="85" t="str">
        <f t="shared" si="1"/>
        <v>#N/A</v>
      </c>
      <c r="M57" s="13"/>
      <c r="N57" s="88"/>
      <c r="O57" s="88"/>
      <c r="P57" s="30">
        <f t="shared" si="2"/>
        <v>0</v>
      </c>
      <c r="Q57" s="71"/>
      <c r="R57" s="6"/>
      <c r="S57" s="6"/>
      <c r="T57" s="6"/>
      <c r="U57" s="6"/>
    </row>
    <row r="58" ht="15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83" t="str">
        <f>VLOOKUP(C58, '1. Phân bổ Ngân sách'!$A$10:$F$23, 6, FALSE())</f>
        <v>#N/A</v>
      </c>
      <c r="L58" s="85" t="str">
        <f t="shared" si="1"/>
        <v>#N/A</v>
      </c>
      <c r="M58" s="13"/>
      <c r="N58" s="88"/>
      <c r="O58" s="88"/>
      <c r="P58" s="30">
        <f t="shared" si="2"/>
        <v>0</v>
      </c>
      <c r="Q58" s="71"/>
      <c r="R58" s="6"/>
      <c r="S58" s="6"/>
      <c r="T58" s="6"/>
      <c r="U58" s="6"/>
    </row>
    <row r="59" ht="15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83" t="str">
        <f>VLOOKUP(C59, '1. Phân bổ Ngân sách'!$A$10:$F$23, 6, FALSE())</f>
        <v>#N/A</v>
      </c>
      <c r="L59" s="85" t="str">
        <f t="shared" si="1"/>
        <v>#N/A</v>
      </c>
      <c r="M59" s="13"/>
      <c r="N59" s="88"/>
      <c r="O59" s="88"/>
      <c r="P59" s="30">
        <f t="shared" si="2"/>
        <v>0</v>
      </c>
      <c r="Q59" s="71"/>
      <c r="R59" s="6"/>
      <c r="S59" s="6"/>
      <c r="T59" s="6"/>
      <c r="U59" s="6"/>
    </row>
    <row r="60" ht="15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83" t="str">
        <f>VLOOKUP(C60, '1. Phân bổ Ngân sách'!$A$10:$F$23, 6, FALSE())</f>
        <v>#N/A</v>
      </c>
      <c r="L60" s="85" t="str">
        <f t="shared" si="1"/>
        <v>#N/A</v>
      </c>
      <c r="M60" s="13"/>
      <c r="N60" s="88"/>
      <c r="O60" s="88"/>
      <c r="P60" s="30">
        <f t="shared" si="2"/>
        <v>0</v>
      </c>
      <c r="Q60" s="71"/>
      <c r="R60" s="6"/>
      <c r="S60" s="6"/>
      <c r="T60" s="6"/>
      <c r="U60" s="6"/>
    </row>
    <row r="61" ht="15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83" t="str">
        <f>VLOOKUP(C61, '1. Phân bổ Ngân sách'!$A$10:$F$23, 6, FALSE())</f>
        <v>#N/A</v>
      </c>
      <c r="L61" s="85" t="str">
        <f t="shared" si="1"/>
        <v>#N/A</v>
      </c>
      <c r="M61" s="13"/>
      <c r="N61" s="88"/>
      <c r="O61" s="88"/>
      <c r="P61" s="30">
        <f t="shared" si="2"/>
        <v>0</v>
      </c>
      <c r="Q61" s="71"/>
      <c r="R61" s="6"/>
      <c r="S61" s="6"/>
      <c r="T61" s="6"/>
      <c r="U61" s="6"/>
    </row>
    <row r="62" ht="15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83" t="str">
        <f>VLOOKUP(C62, '1. Phân bổ Ngân sách'!$A$10:$F$23, 6, FALSE())</f>
        <v>#N/A</v>
      </c>
      <c r="L62" s="85" t="str">
        <f t="shared" si="1"/>
        <v>#N/A</v>
      </c>
      <c r="M62" s="13"/>
      <c r="N62" s="88"/>
      <c r="O62" s="88"/>
      <c r="P62" s="30">
        <f t="shared" si="2"/>
        <v>0</v>
      </c>
      <c r="Q62" s="71"/>
      <c r="R62" s="6"/>
      <c r="S62" s="6"/>
      <c r="T62" s="6"/>
      <c r="U62" s="6"/>
    </row>
    <row r="63" ht="15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83" t="str">
        <f>VLOOKUP(C63, '1. Phân bổ Ngân sách'!$A$10:$F$23, 6, FALSE())</f>
        <v>#N/A</v>
      </c>
      <c r="L63" s="85" t="str">
        <f t="shared" si="1"/>
        <v>#N/A</v>
      </c>
      <c r="M63" s="13"/>
      <c r="N63" s="88"/>
      <c r="O63" s="88"/>
      <c r="P63" s="30">
        <f t="shared" si="2"/>
        <v>0</v>
      </c>
      <c r="Q63" s="71"/>
      <c r="R63" s="6"/>
      <c r="S63" s="6"/>
      <c r="T63" s="6"/>
      <c r="U63" s="6"/>
    </row>
    <row r="64" ht="15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83" t="str">
        <f>VLOOKUP(C64, '1. Phân bổ Ngân sách'!$A$10:$F$23, 6, FALSE())</f>
        <v>#N/A</v>
      </c>
      <c r="L64" s="85" t="str">
        <f t="shared" si="1"/>
        <v>#N/A</v>
      </c>
      <c r="M64" s="13"/>
      <c r="N64" s="88"/>
      <c r="O64" s="88"/>
      <c r="P64" s="30">
        <f t="shared" si="2"/>
        <v>0</v>
      </c>
      <c r="Q64" s="71"/>
      <c r="R64" s="6"/>
      <c r="S64" s="6"/>
      <c r="T64" s="6"/>
      <c r="U64" s="6"/>
    </row>
    <row r="65" ht="15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83" t="str">
        <f>VLOOKUP(C65, '1. Phân bổ Ngân sách'!$A$10:$F$23, 6, FALSE())</f>
        <v>#N/A</v>
      </c>
      <c r="L65" s="85" t="str">
        <f t="shared" si="1"/>
        <v>#N/A</v>
      </c>
      <c r="M65" s="13"/>
      <c r="N65" s="88"/>
      <c r="O65" s="88"/>
      <c r="P65" s="30">
        <f t="shared" si="2"/>
        <v>0</v>
      </c>
      <c r="Q65" s="71"/>
      <c r="R65" s="6"/>
      <c r="S65" s="6"/>
      <c r="T65" s="6"/>
      <c r="U65" s="6"/>
    </row>
    <row r="66" ht="15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83" t="str">
        <f>VLOOKUP(C66, '1. Phân bổ Ngân sách'!$A$10:$F$23, 6, FALSE())</f>
        <v>#N/A</v>
      </c>
      <c r="L66" s="85" t="str">
        <f t="shared" si="1"/>
        <v>#N/A</v>
      </c>
      <c r="M66" s="13"/>
      <c r="N66" s="88"/>
      <c r="O66" s="88"/>
      <c r="P66" s="30">
        <f t="shared" si="2"/>
        <v>0</v>
      </c>
      <c r="Q66" s="71"/>
      <c r="R66" s="6"/>
      <c r="S66" s="6"/>
      <c r="T66" s="6"/>
      <c r="U66" s="6"/>
    </row>
    <row r="67" ht="15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83" t="str">
        <f>VLOOKUP(C67, '1. Phân bổ Ngân sách'!$A$10:$F$23, 6, FALSE())</f>
        <v>#N/A</v>
      </c>
      <c r="L67" s="85" t="str">
        <f t="shared" si="1"/>
        <v>#N/A</v>
      </c>
      <c r="M67" s="13"/>
      <c r="N67" s="88"/>
      <c r="O67" s="88"/>
      <c r="P67" s="30">
        <f t="shared" si="2"/>
        <v>0</v>
      </c>
      <c r="Q67" s="71"/>
      <c r="R67" s="6"/>
      <c r="S67" s="6"/>
      <c r="T67" s="6"/>
      <c r="U67" s="6"/>
    </row>
    <row r="68" ht="15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83" t="str">
        <f>VLOOKUP(C68, '1. Phân bổ Ngân sách'!$A$10:$F$23, 6, FALSE())</f>
        <v>#N/A</v>
      </c>
      <c r="L68" s="85" t="str">
        <f t="shared" si="1"/>
        <v>#N/A</v>
      </c>
      <c r="M68" s="13"/>
      <c r="N68" s="88"/>
      <c r="O68" s="88"/>
      <c r="P68" s="30">
        <f t="shared" si="2"/>
        <v>0</v>
      </c>
      <c r="Q68" s="71"/>
      <c r="R68" s="6"/>
      <c r="S68" s="6"/>
      <c r="T68" s="6"/>
      <c r="U68" s="6"/>
    </row>
    <row r="69" ht="15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83" t="str">
        <f>VLOOKUP(C69, '1. Phân bổ Ngân sách'!$A$10:$F$23, 6, FALSE())</f>
        <v>#N/A</v>
      </c>
      <c r="L69" s="85" t="str">
        <f t="shared" si="1"/>
        <v>#N/A</v>
      </c>
      <c r="M69" s="13"/>
      <c r="N69" s="88"/>
      <c r="O69" s="88"/>
      <c r="P69" s="30">
        <f t="shared" si="2"/>
        <v>0</v>
      </c>
      <c r="Q69" s="71"/>
      <c r="R69" s="6"/>
      <c r="S69" s="6"/>
      <c r="T69" s="6"/>
      <c r="U69" s="6"/>
    </row>
    <row r="70" ht="15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83" t="str">
        <f>VLOOKUP(C70, '1. Phân bổ Ngân sách'!$A$10:$F$23, 6, FALSE())</f>
        <v>#N/A</v>
      </c>
      <c r="L70" s="85" t="str">
        <f t="shared" si="1"/>
        <v>#N/A</v>
      </c>
      <c r="M70" s="13"/>
      <c r="N70" s="88"/>
      <c r="O70" s="88"/>
      <c r="P70" s="30">
        <f t="shared" si="2"/>
        <v>0</v>
      </c>
      <c r="Q70" s="71"/>
      <c r="R70" s="6"/>
      <c r="S70" s="6"/>
      <c r="T70" s="6"/>
      <c r="U70" s="6"/>
    </row>
    <row r="71" ht="15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83" t="str">
        <f>VLOOKUP(C71, '1. Phân bổ Ngân sách'!$A$10:$F$23, 6, FALSE())</f>
        <v>#N/A</v>
      </c>
      <c r="L71" s="85" t="str">
        <f t="shared" si="1"/>
        <v>#N/A</v>
      </c>
      <c r="M71" s="13"/>
      <c r="N71" s="88"/>
      <c r="O71" s="88"/>
      <c r="P71" s="30">
        <f t="shared" si="2"/>
        <v>0</v>
      </c>
      <c r="Q71" s="71"/>
      <c r="R71" s="6"/>
      <c r="S71" s="6"/>
      <c r="T71" s="6"/>
      <c r="U71" s="6"/>
    </row>
    <row r="72" ht="15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83" t="str">
        <f>VLOOKUP(C72, '1. Phân bổ Ngân sách'!$A$10:$F$23, 6, FALSE())</f>
        <v>#N/A</v>
      </c>
      <c r="L72" s="85" t="str">
        <f t="shared" si="1"/>
        <v>#N/A</v>
      </c>
      <c r="M72" s="13"/>
      <c r="N72" s="88"/>
      <c r="O72" s="88"/>
      <c r="P72" s="30">
        <f t="shared" si="2"/>
        <v>0</v>
      </c>
      <c r="Q72" s="71"/>
      <c r="R72" s="6"/>
      <c r="S72" s="6"/>
      <c r="T72" s="6"/>
      <c r="U72" s="6"/>
    </row>
    <row r="73" ht="15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83" t="str">
        <f>VLOOKUP(C73, '1. Phân bổ Ngân sách'!$A$10:$F$23, 6, FALSE())</f>
        <v>#N/A</v>
      </c>
      <c r="L73" s="85" t="str">
        <f t="shared" si="1"/>
        <v>#N/A</v>
      </c>
      <c r="M73" s="13"/>
      <c r="N73" s="88"/>
      <c r="O73" s="88"/>
      <c r="P73" s="30">
        <f t="shared" si="2"/>
        <v>0</v>
      </c>
      <c r="Q73" s="71"/>
      <c r="R73" s="6"/>
      <c r="S73" s="6"/>
      <c r="T73" s="6"/>
      <c r="U73" s="6"/>
    </row>
    <row r="74" ht="15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83" t="str">
        <f>VLOOKUP(C74, '1. Phân bổ Ngân sách'!$A$10:$F$23, 6, FALSE())</f>
        <v>#N/A</v>
      </c>
      <c r="L74" s="85" t="str">
        <f t="shared" si="1"/>
        <v>#N/A</v>
      </c>
      <c r="M74" s="13"/>
      <c r="N74" s="88"/>
      <c r="O74" s="88"/>
      <c r="P74" s="30">
        <f t="shared" si="2"/>
        <v>0</v>
      </c>
      <c r="Q74" s="71"/>
      <c r="R74" s="6"/>
      <c r="S74" s="6"/>
      <c r="T74" s="6"/>
      <c r="U74" s="6"/>
    </row>
    <row r="75" ht="15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83" t="str">
        <f>VLOOKUP(C75, '1. Phân bổ Ngân sách'!$A$10:$F$23, 6, FALSE())</f>
        <v>#N/A</v>
      </c>
      <c r="L75" s="85" t="str">
        <f t="shared" si="1"/>
        <v>#N/A</v>
      </c>
      <c r="M75" s="13"/>
      <c r="N75" s="88"/>
      <c r="O75" s="88"/>
      <c r="P75" s="30">
        <f t="shared" si="2"/>
        <v>0</v>
      </c>
      <c r="Q75" s="71"/>
      <c r="R75" s="6"/>
      <c r="S75" s="6"/>
      <c r="T75" s="6"/>
      <c r="U75" s="6"/>
    </row>
    <row r="76" ht="15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83" t="str">
        <f>VLOOKUP(C76, '1. Phân bổ Ngân sách'!$A$10:$F$23, 6, FALSE())</f>
        <v>#N/A</v>
      </c>
      <c r="L76" s="85" t="str">
        <f t="shared" si="1"/>
        <v>#N/A</v>
      </c>
      <c r="M76" s="13"/>
      <c r="N76" s="88"/>
      <c r="O76" s="88"/>
      <c r="P76" s="30">
        <f t="shared" si="2"/>
        <v>0</v>
      </c>
      <c r="Q76" s="71"/>
      <c r="R76" s="6"/>
      <c r="S76" s="6"/>
      <c r="T76" s="6"/>
      <c r="U76" s="6"/>
    </row>
    <row r="77" ht="15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83" t="str">
        <f>VLOOKUP(C77, '1. Phân bổ Ngân sách'!$A$10:$F$23, 6, FALSE())</f>
        <v>#N/A</v>
      </c>
      <c r="L77" s="85" t="str">
        <f t="shared" si="1"/>
        <v>#N/A</v>
      </c>
      <c r="M77" s="13"/>
      <c r="N77" s="88"/>
      <c r="O77" s="88"/>
      <c r="P77" s="30">
        <f t="shared" si="2"/>
        <v>0</v>
      </c>
      <c r="Q77" s="71"/>
      <c r="R77" s="6"/>
      <c r="S77" s="6"/>
      <c r="T77" s="6"/>
      <c r="U77" s="6"/>
    </row>
    <row r="78" ht="15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83" t="str">
        <f>VLOOKUP(C78, '1. Phân bổ Ngân sách'!$A$10:$F$23, 6, FALSE())</f>
        <v>#N/A</v>
      </c>
      <c r="L78" s="85" t="str">
        <f t="shared" si="1"/>
        <v>#N/A</v>
      </c>
      <c r="M78" s="13"/>
      <c r="N78" s="88"/>
      <c r="O78" s="88"/>
      <c r="P78" s="30">
        <f t="shared" si="2"/>
        <v>0</v>
      </c>
      <c r="Q78" s="71"/>
      <c r="R78" s="6"/>
      <c r="S78" s="6"/>
      <c r="T78" s="6"/>
      <c r="U78" s="6"/>
    </row>
    <row r="79" ht="15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83" t="str">
        <f>VLOOKUP(C79, '1. Phân bổ Ngân sách'!$A$10:$F$23, 6, FALSE())</f>
        <v>#N/A</v>
      </c>
      <c r="L79" s="85" t="str">
        <f t="shared" si="1"/>
        <v>#N/A</v>
      </c>
      <c r="M79" s="13"/>
      <c r="N79" s="88"/>
      <c r="O79" s="88"/>
      <c r="P79" s="30">
        <f t="shared" si="2"/>
        <v>0</v>
      </c>
      <c r="Q79" s="71"/>
      <c r="R79" s="6"/>
      <c r="S79" s="6"/>
      <c r="T79" s="6"/>
      <c r="U79" s="6"/>
    </row>
    <row r="80" ht="15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83" t="str">
        <f>VLOOKUP(C80, '1. Phân bổ Ngân sách'!$A$10:$F$23, 6, FALSE())</f>
        <v>#N/A</v>
      </c>
      <c r="L80" s="85" t="str">
        <f t="shared" si="1"/>
        <v>#N/A</v>
      </c>
      <c r="M80" s="13"/>
      <c r="N80" s="88"/>
      <c r="O80" s="88"/>
      <c r="P80" s="30">
        <f t="shared" si="2"/>
        <v>0</v>
      </c>
      <c r="Q80" s="71"/>
      <c r="R80" s="6"/>
      <c r="S80" s="6"/>
      <c r="T80" s="6"/>
      <c r="U80" s="6"/>
    </row>
    <row r="81" ht="15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83" t="str">
        <f>VLOOKUP(C81, '1. Phân bổ Ngân sách'!$A$10:$F$23, 6, FALSE())</f>
        <v>#N/A</v>
      </c>
      <c r="L81" s="85" t="str">
        <f t="shared" si="1"/>
        <v>#N/A</v>
      </c>
      <c r="M81" s="13"/>
      <c r="N81" s="88"/>
      <c r="O81" s="88"/>
      <c r="P81" s="30">
        <f t="shared" si="2"/>
        <v>0</v>
      </c>
      <c r="Q81" s="71"/>
      <c r="R81" s="6"/>
      <c r="S81" s="6"/>
      <c r="T81" s="6"/>
      <c r="U81" s="6"/>
    </row>
    <row r="82" ht="15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83" t="str">
        <f>VLOOKUP(C82, '1. Phân bổ Ngân sách'!$A$10:$F$23, 6, FALSE())</f>
        <v>#N/A</v>
      </c>
      <c r="L82" s="85" t="str">
        <f t="shared" si="1"/>
        <v>#N/A</v>
      </c>
      <c r="M82" s="13"/>
      <c r="N82" s="88"/>
      <c r="O82" s="88"/>
      <c r="P82" s="30">
        <f t="shared" si="2"/>
        <v>0</v>
      </c>
      <c r="Q82" s="71"/>
      <c r="R82" s="6"/>
      <c r="S82" s="6"/>
      <c r="T82" s="6"/>
      <c r="U82" s="6"/>
    </row>
    <row r="83" ht="15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83" t="str">
        <f>VLOOKUP(C83, '1. Phân bổ Ngân sách'!$A$10:$F$23, 6, FALSE())</f>
        <v>#N/A</v>
      </c>
      <c r="L83" s="85" t="str">
        <f t="shared" si="1"/>
        <v>#N/A</v>
      </c>
      <c r="M83" s="13"/>
      <c r="N83" s="88"/>
      <c r="O83" s="88"/>
      <c r="P83" s="30">
        <f t="shared" si="2"/>
        <v>0</v>
      </c>
      <c r="Q83" s="71"/>
      <c r="R83" s="6"/>
      <c r="S83" s="6"/>
      <c r="T83" s="6"/>
      <c r="U83" s="6"/>
    </row>
    <row r="84" ht="15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83" t="str">
        <f>VLOOKUP(C84, '1. Phân bổ Ngân sách'!$A$10:$F$23, 6, FALSE())</f>
        <v>#N/A</v>
      </c>
      <c r="L84" s="85" t="str">
        <f t="shared" si="1"/>
        <v>#N/A</v>
      </c>
      <c r="M84" s="13"/>
      <c r="N84" s="88"/>
      <c r="O84" s="88"/>
      <c r="P84" s="30">
        <f t="shared" si="2"/>
        <v>0</v>
      </c>
      <c r="Q84" s="71"/>
      <c r="R84" s="6"/>
      <c r="S84" s="6"/>
      <c r="T84" s="6"/>
      <c r="U84" s="6"/>
    </row>
    <row r="85" ht="15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83" t="str">
        <f>VLOOKUP(C85, '1. Phân bổ Ngân sách'!$A$10:$F$23, 6, FALSE())</f>
        <v>#N/A</v>
      </c>
      <c r="L85" s="85" t="str">
        <f t="shared" si="1"/>
        <v>#N/A</v>
      </c>
      <c r="M85" s="13"/>
      <c r="N85" s="88"/>
      <c r="O85" s="88"/>
      <c r="P85" s="30">
        <f t="shared" si="2"/>
        <v>0</v>
      </c>
      <c r="Q85" s="71"/>
      <c r="R85" s="6"/>
      <c r="S85" s="6"/>
      <c r="T85" s="6"/>
      <c r="U85" s="6"/>
    </row>
    <row r="86" ht="15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83" t="str">
        <f>VLOOKUP(C86, '1. Phân bổ Ngân sách'!$A$10:$F$23, 6, FALSE())</f>
        <v>#N/A</v>
      </c>
      <c r="L86" s="85" t="str">
        <f t="shared" si="1"/>
        <v>#N/A</v>
      </c>
      <c r="M86" s="13"/>
      <c r="N86" s="88"/>
      <c r="O86" s="88"/>
      <c r="P86" s="30">
        <f t="shared" si="2"/>
        <v>0</v>
      </c>
      <c r="Q86" s="71"/>
      <c r="R86" s="6"/>
      <c r="S86" s="6"/>
      <c r="T86" s="6"/>
      <c r="U86" s="6"/>
    </row>
    <row r="87" ht="15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83" t="str">
        <f>VLOOKUP(C87, '1. Phân bổ Ngân sách'!$A$10:$F$23, 6, FALSE())</f>
        <v>#N/A</v>
      </c>
      <c r="L87" s="85" t="str">
        <f t="shared" si="1"/>
        <v>#N/A</v>
      </c>
      <c r="M87" s="13"/>
      <c r="N87" s="88"/>
      <c r="O87" s="88"/>
      <c r="P87" s="30">
        <f t="shared" si="2"/>
        <v>0</v>
      </c>
      <c r="Q87" s="71"/>
      <c r="R87" s="6"/>
      <c r="S87" s="6"/>
      <c r="T87" s="6"/>
      <c r="U87" s="6"/>
    </row>
    <row r="88" ht="15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83" t="str">
        <f>VLOOKUP(C88, '1. Phân bổ Ngân sách'!$A$10:$F$23, 6, FALSE())</f>
        <v>#N/A</v>
      </c>
      <c r="L88" s="85" t="str">
        <f t="shared" si="1"/>
        <v>#N/A</v>
      </c>
      <c r="M88" s="13"/>
      <c r="N88" s="88"/>
      <c r="O88" s="88"/>
      <c r="P88" s="30">
        <f t="shared" si="2"/>
        <v>0</v>
      </c>
      <c r="Q88" s="71"/>
      <c r="R88" s="6"/>
      <c r="S88" s="6"/>
      <c r="T88" s="6"/>
      <c r="U88" s="6"/>
    </row>
    <row r="89" ht="15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83" t="str">
        <f>VLOOKUP(C89, '1. Phân bổ Ngân sách'!$A$10:$F$23, 6, FALSE())</f>
        <v>#N/A</v>
      </c>
      <c r="L89" s="85" t="str">
        <f t="shared" si="1"/>
        <v>#N/A</v>
      </c>
      <c r="M89" s="13"/>
      <c r="N89" s="88"/>
      <c r="O89" s="88"/>
      <c r="P89" s="30">
        <f t="shared" si="2"/>
        <v>0</v>
      </c>
      <c r="Q89" s="71"/>
      <c r="R89" s="6"/>
      <c r="S89" s="6"/>
      <c r="T89" s="6"/>
      <c r="U89" s="6"/>
    </row>
    <row r="90" ht="15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83" t="str">
        <f>VLOOKUP(C90, '1. Phân bổ Ngân sách'!$A$10:$F$23, 6, FALSE())</f>
        <v>#N/A</v>
      </c>
      <c r="L90" s="85" t="str">
        <f t="shared" si="1"/>
        <v>#N/A</v>
      </c>
      <c r="M90" s="13"/>
      <c r="N90" s="88"/>
      <c r="O90" s="88"/>
      <c r="P90" s="30">
        <f t="shared" si="2"/>
        <v>0</v>
      </c>
      <c r="Q90" s="71"/>
      <c r="R90" s="6"/>
      <c r="S90" s="6"/>
      <c r="T90" s="6"/>
      <c r="U90" s="6"/>
    </row>
    <row r="91" ht="15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83" t="str">
        <f>VLOOKUP(C91, '1. Phân bổ Ngân sách'!$A$10:$F$23, 6, FALSE())</f>
        <v>#N/A</v>
      </c>
      <c r="L91" s="85" t="str">
        <f t="shared" si="1"/>
        <v>#N/A</v>
      </c>
      <c r="M91" s="13"/>
      <c r="N91" s="88"/>
      <c r="O91" s="88"/>
      <c r="P91" s="30">
        <f t="shared" si="2"/>
        <v>0</v>
      </c>
      <c r="Q91" s="71"/>
      <c r="R91" s="6"/>
      <c r="S91" s="6"/>
      <c r="T91" s="6"/>
      <c r="U91" s="6"/>
    </row>
    <row r="92" ht="15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83" t="str">
        <f>VLOOKUP(C92, '1. Phân bổ Ngân sách'!$A$10:$F$23, 6, FALSE())</f>
        <v>#N/A</v>
      </c>
      <c r="L92" s="85" t="str">
        <f t="shared" si="1"/>
        <v>#N/A</v>
      </c>
      <c r="M92" s="13"/>
      <c r="N92" s="88"/>
      <c r="O92" s="88"/>
      <c r="P92" s="30">
        <f t="shared" si="2"/>
        <v>0</v>
      </c>
      <c r="Q92" s="71"/>
      <c r="R92" s="6"/>
      <c r="S92" s="6"/>
      <c r="T92" s="6"/>
      <c r="U92" s="6"/>
    </row>
    <row r="93" ht="15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83" t="str">
        <f>VLOOKUP(C93, '1. Phân bổ Ngân sách'!$A$10:$F$23, 6, FALSE())</f>
        <v>#N/A</v>
      </c>
      <c r="L93" s="85" t="str">
        <f t="shared" si="1"/>
        <v>#N/A</v>
      </c>
      <c r="M93" s="13"/>
      <c r="N93" s="88"/>
      <c r="O93" s="88"/>
      <c r="P93" s="30">
        <f t="shared" si="2"/>
        <v>0</v>
      </c>
      <c r="Q93" s="71"/>
      <c r="R93" s="6"/>
      <c r="S93" s="6"/>
      <c r="T93" s="6"/>
      <c r="U93" s="6"/>
    </row>
    <row r="94" ht="15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83" t="str">
        <f>VLOOKUP(C94, '1. Phân bổ Ngân sách'!$A$10:$F$23, 6, FALSE())</f>
        <v>#N/A</v>
      </c>
      <c r="L94" s="85" t="str">
        <f t="shared" si="1"/>
        <v>#N/A</v>
      </c>
      <c r="M94" s="13"/>
      <c r="N94" s="88"/>
      <c r="O94" s="88"/>
      <c r="P94" s="30">
        <f t="shared" si="2"/>
        <v>0</v>
      </c>
      <c r="Q94" s="71"/>
      <c r="R94" s="6"/>
      <c r="S94" s="6"/>
      <c r="T94" s="6"/>
      <c r="U94" s="6"/>
    </row>
    <row r="95" ht="15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83" t="str">
        <f>VLOOKUP(C95, '1. Phân bổ Ngân sách'!$A$10:$F$23, 6, FALSE())</f>
        <v>#N/A</v>
      </c>
      <c r="L95" s="85" t="str">
        <f t="shared" si="1"/>
        <v>#N/A</v>
      </c>
      <c r="M95" s="13"/>
      <c r="N95" s="88"/>
      <c r="O95" s="88"/>
      <c r="P95" s="30">
        <f t="shared" si="2"/>
        <v>0</v>
      </c>
      <c r="Q95" s="71"/>
      <c r="R95" s="6"/>
      <c r="S95" s="6"/>
      <c r="T95" s="6"/>
      <c r="U95" s="6"/>
    </row>
    <row r="96" ht="15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83" t="str">
        <f>VLOOKUP(C96, '1. Phân bổ Ngân sách'!$A$10:$F$23, 6, FALSE())</f>
        <v>#N/A</v>
      </c>
      <c r="L96" s="85" t="str">
        <f t="shared" si="1"/>
        <v>#N/A</v>
      </c>
      <c r="M96" s="13"/>
      <c r="N96" s="88"/>
      <c r="O96" s="88"/>
      <c r="P96" s="30">
        <f t="shared" si="2"/>
        <v>0</v>
      </c>
      <c r="Q96" s="71"/>
      <c r="R96" s="6"/>
      <c r="S96" s="6"/>
      <c r="T96" s="6"/>
      <c r="U96" s="6"/>
    </row>
    <row r="97" ht="15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83" t="str">
        <f>VLOOKUP(C97, '1. Phân bổ Ngân sách'!$A$10:$F$23, 6, FALSE())</f>
        <v>#N/A</v>
      </c>
      <c r="L97" s="85" t="str">
        <f t="shared" si="1"/>
        <v>#N/A</v>
      </c>
      <c r="M97" s="13"/>
      <c r="N97" s="88"/>
      <c r="O97" s="88"/>
      <c r="P97" s="30">
        <f t="shared" si="2"/>
        <v>0</v>
      </c>
      <c r="Q97" s="71"/>
      <c r="R97" s="6"/>
      <c r="S97" s="6"/>
      <c r="T97" s="6"/>
      <c r="U97" s="6"/>
    </row>
    <row r="98" ht="15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83" t="str">
        <f>VLOOKUP(C98, '1. Phân bổ Ngân sách'!$A$10:$F$23, 6, FALSE())</f>
        <v>#N/A</v>
      </c>
      <c r="L98" s="85" t="str">
        <f t="shared" si="1"/>
        <v>#N/A</v>
      </c>
      <c r="M98" s="13"/>
      <c r="N98" s="88"/>
      <c r="O98" s="88"/>
      <c r="P98" s="30">
        <f t="shared" si="2"/>
        <v>0</v>
      </c>
      <c r="Q98" s="71"/>
      <c r="R98" s="6"/>
      <c r="S98" s="6"/>
      <c r="T98" s="6"/>
      <c r="U98" s="6"/>
    </row>
    <row r="99" ht="15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83" t="str">
        <f>VLOOKUP(C99, '1. Phân bổ Ngân sách'!$A$10:$F$23, 6, FALSE())</f>
        <v>#N/A</v>
      </c>
      <c r="L99" s="85" t="str">
        <f t="shared" si="1"/>
        <v>#N/A</v>
      </c>
      <c r="M99" s="13"/>
      <c r="N99" s="88"/>
      <c r="O99" s="88"/>
      <c r="P99" s="30">
        <f t="shared" si="2"/>
        <v>0</v>
      </c>
      <c r="Q99" s="71"/>
      <c r="R99" s="6"/>
      <c r="S99" s="6"/>
      <c r="T99" s="6"/>
      <c r="U99" s="6"/>
    </row>
    <row r="100" ht="15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83" t="str">
        <f>VLOOKUP(C100, '1. Phân bổ Ngân sách'!$A$10:$F$23, 6, FALSE())</f>
        <v>#N/A</v>
      </c>
      <c r="L100" s="85" t="str">
        <f t="shared" si="1"/>
        <v>#N/A</v>
      </c>
      <c r="M100" s="13"/>
      <c r="N100" s="88"/>
      <c r="O100" s="88"/>
      <c r="P100" s="30">
        <f t="shared" si="2"/>
        <v>0</v>
      </c>
      <c r="Q100" s="71"/>
      <c r="R100" s="6"/>
      <c r="S100" s="6"/>
      <c r="T100" s="6"/>
      <c r="U100" s="6"/>
    </row>
    <row r="101" ht="15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83" t="str">
        <f>VLOOKUP(C101, '1. Phân bổ Ngân sách'!$A$10:$F$23, 6, FALSE())</f>
        <v>#N/A</v>
      </c>
      <c r="L101" s="85" t="str">
        <f t="shared" si="1"/>
        <v>#N/A</v>
      </c>
      <c r="M101" s="13"/>
      <c r="N101" s="88"/>
      <c r="O101" s="88"/>
      <c r="P101" s="30">
        <f t="shared" si="2"/>
        <v>0</v>
      </c>
      <c r="Q101" s="71"/>
      <c r="R101" s="6"/>
      <c r="S101" s="6"/>
      <c r="T101" s="6"/>
      <c r="U101" s="6"/>
    </row>
    <row r="102" ht="15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83" t="str">
        <f>VLOOKUP(C102, '1. Phân bổ Ngân sách'!$A$10:$F$23, 6, FALSE())</f>
        <v>#N/A</v>
      </c>
      <c r="L102" s="85" t="str">
        <f t="shared" si="1"/>
        <v>#N/A</v>
      </c>
      <c r="M102" s="13"/>
      <c r="N102" s="88"/>
      <c r="O102" s="88"/>
      <c r="P102" s="30">
        <f t="shared" si="2"/>
        <v>0</v>
      </c>
      <c r="Q102" s="71"/>
      <c r="R102" s="6"/>
      <c r="S102" s="6"/>
      <c r="T102" s="6"/>
      <c r="U102" s="6"/>
    </row>
    <row r="103" ht="15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83" t="str">
        <f>VLOOKUP(C103, '1. Phân bổ Ngân sách'!$A$10:$F$23, 6, FALSE())</f>
        <v>#N/A</v>
      </c>
      <c r="L103" s="85" t="str">
        <f t="shared" si="1"/>
        <v>#N/A</v>
      </c>
      <c r="M103" s="13"/>
      <c r="N103" s="88"/>
      <c r="O103" s="88"/>
      <c r="P103" s="30">
        <f t="shared" si="2"/>
        <v>0</v>
      </c>
      <c r="Q103" s="71"/>
      <c r="R103" s="6"/>
      <c r="S103" s="6"/>
      <c r="T103" s="6"/>
      <c r="U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</row>
  </sheetData>
  <mergeCells count="2">
    <mergeCell ref="A1:Q1"/>
    <mergeCell ref="S3:U3"/>
  </mergeCells>
  <conditionalFormatting sqref="L4:L103">
    <cfRule type="cellIs" dxfId="1" priority="1" operator="equal">
      <formula>"⚠️ VƯỢT QUÁ TỒN QUỸ"</formula>
    </cfRule>
  </conditionalFormatting>
  <conditionalFormatting sqref="L4:L103">
    <cfRule type="cellIs" dxfId="2" priority="2" operator="equal">
      <formula>"🟢 AN TOÀN"</formula>
    </cfRule>
  </conditionalFormatting>
  <conditionalFormatting sqref="L4:L103">
    <cfRule type="cellIs" dxfId="0" priority="3" operator="equal">
      <formula>"⚠️ VƯỢT QUÁ TỒN QUỸ"</formula>
    </cfRule>
  </conditionalFormatting>
  <conditionalFormatting sqref="U5:U14">
    <cfRule type="cellIs" dxfId="1" priority="4" operator="equal">
      <formula>"⚠️ HẾT QUỸ"</formula>
    </cfRule>
  </conditionalFormatting>
  <conditionalFormatting sqref="U5:U14">
    <cfRule type="cellIs" dxfId="2" priority="5" operator="equal">
      <formula>"🟢 AN TOÀN"</formula>
    </cfRule>
  </conditionalFormatting>
  <conditionalFormatting sqref="U5:U14">
    <cfRule type="cellIs" dxfId="0" priority="6" operator="equal">
      <formula>"⚠️ HẾT QUỸ"</formula>
    </cfRule>
  </conditionalFormatting>
  <conditionalFormatting sqref="K4:K103">
    <cfRule type="cellIs" dxfId="0" priority="7" operator="lessThan">
      <formula>0</formula>
    </cfRule>
  </conditionalFormatting>
  <conditionalFormatting sqref="T5:T14">
    <cfRule type="cellIs" dxfId="0" priority="8" operator="lessThan">
      <formula>0</formula>
    </cfRule>
  </conditionalFormatting>
  <dataValidations>
    <dataValidation type="list" allowBlank="1" sqref="C4:C103">
      <formula1>"Sale trực tiếp - Pro sale (Nguồn khách),Tri ân kết nối sale trực tiếp,Tri ân hỗ trợ sale,Quỹ Sự kiện &amp; Chốt hợp đồng,Quỹ Chăm sóc khách hàng,Quỹ Đào tạo Chuyên môn &amp; Kỹ năng,Quỹ Thi đua &amp; Chương trình thúc đẩy,Chi phí Công tác phí,Leader team - giám đốc K"&amp;"d,Quỹ Vận hành &amp; Bộ phận hỗ trợ"</formula1>
    </dataValidation>
    <dataValidation type="list" allowBlank="1" sqref="M4:M103">
      <formula1>"Chờ duyệt,Đã duyệt"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2.0"/>
    <col customWidth="1" min="3" max="3" width="24.0"/>
    <col customWidth="1" min="4" max="4" width="20.0"/>
    <col customWidth="1" min="5" max="5" width="13.0"/>
    <col customWidth="1" min="6" max="6" width="11.0"/>
    <col customWidth="1" min="7" max="7" width="27.0"/>
    <col customWidth="1" min="8" max="8" width="18.0"/>
    <col customWidth="1" min="9" max="9" width="26.0"/>
    <col customWidth="1" min="10" max="10" width="18.0"/>
    <col customWidth="1" min="11" max="11" width="13.0"/>
    <col customWidth="1" min="12" max="12" width="24.0"/>
    <col customWidth="1" min="13" max="13" width="17.0"/>
    <col customWidth="1" min="14" max="14" width="11.0"/>
    <col customWidth="1" min="15" max="15" width="14.0"/>
    <col customWidth="1" min="16" max="16" width="42.0"/>
    <col customWidth="1" min="17" max="17" width="22.0"/>
    <col customWidth="1" min="18" max="18" width="18.0"/>
    <col customWidth="1" min="19" max="26" width="8.57"/>
  </cols>
  <sheetData>
    <row r="1" ht="34.5" customHeight="1">
      <c r="A1" s="2" t="s">
        <v>414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6"/>
      <c r="O1" s="6"/>
      <c r="P1" s="6"/>
      <c r="Q1" s="6"/>
      <c r="R1" s="6"/>
    </row>
    <row r="2" ht="15.0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89" t="s">
        <v>415</v>
      </c>
      <c r="P2" s="3"/>
      <c r="Q2" s="3"/>
      <c r="R2" s="4"/>
    </row>
    <row r="3" ht="27.75" customHeight="1">
      <c r="A3" s="10" t="s">
        <v>418</v>
      </c>
      <c r="B3" s="10" t="s">
        <v>419</v>
      </c>
      <c r="C3" s="10" t="s">
        <v>420</v>
      </c>
      <c r="D3" s="10" t="s">
        <v>421</v>
      </c>
      <c r="E3" s="10" t="s">
        <v>422</v>
      </c>
      <c r="F3" s="10" t="s">
        <v>423</v>
      </c>
      <c r="G3" s="10" t="s">
        <v>424</v>
      </c>
      <c r="H3" s="10" t="s">
        <v>425</v>
      </c>
      <c r="I3" s="10" t="s">
        <v>426</v>
      </c>
      <c r="J3" s="10" t="s">
        <v>427</v>
      </c>
      <c r="K3" s="10" t="s">
        <v>29</v>
      </c>
      <c r="L3" s="10" t="s">
        <v>428</v>
      </c>
      <c r="M3" s="10" t="s">
        <v>429</v>
      </c>
      <c r="N3" s="6"/>
      <c r="O3" s="73" t="s">
        <v>418</v>
      </c>
      <c r="P3" s="73" t="s">
        <v>430</v>
      </c>
      <c r="Q3" s="73" t="s">
        <v>429</v>
      </c>
      <c r="R3" s="73" t="s">
        <v>431</v>
      </c>
    </row>
    <row r="4" ht="15.0" customHeight="1">
      <c r="A4" s="13" t="s">
        <v>432</v>
      </c>
      <c r="B4" s="13" t="s">
        <v>33</v>
      </c>
      <c r="C4" s="16" t="s">
        <v>34</v>
      </c>
      <c r="D4" s="16" t="s">
        <v>433</v>
      </c>
      <c r="E4" s="13" t="s">
        <v>434</v>
      </c>
      <c r="F4" s="85">
        <v>10.0</v>
      </c>
      <c r="G4" s="24">
        <f t="shared" ref="G4:G13" si="1">VLOOKUP(A4, $O$4:$R$100, 4, FALSE())</f>
        <v>3000000</v>
      </c>
      <c r="H4" s="13">
        <f t="shared" ref="H4:H13" si="2">SUMIF($A$4:$A$100, A4, $F$4:$F$100)</f>
        <v>18</v>
      </c>
      <c r="I4" s="30">
        <f t="shared" ref="I4:I13" si="3">(G4/H4)*F4</f>
        <v>1666666.667</v>
      </c>
      <c r="J4" s="90" t="s">
        <v>435</v>
      </c>
      <c r="K4" s="13" t="s">
        <v>271</v>
      </c>
      <c r="L4" s="30">
        <f t="shared" ref="L4:L13" si="4">IF(K4="Đã duyệt", I4, 0)</f>
        <v>1666666.667</v>
      </c>
      <c r="M4" s="14">
        <f t="shared" ref="M4:M13" si="5">VLOOKUP(A4, $O$4:$R$100, 3, FALSE())</f>
        <v>46237</v>
      </c>
      <c r="N4" s="6"/>
      <c r="O4" s="85" t="s">
        <v>432</v>
      </c>
      <c r="P4" s="16" t="s">
        <v>436</v>
      </c>
      <c r="Q4" s="14">
        <v>46237.0</v>
      </c>
      <c r="R4" s="30">
        <v>3000000.0</v>
      </c>
    </row>
    <row r="5" ht="15.0" customHeight="1">
      <c r="A5" s="13" t="s">
        <v>432</v>
      </c>
      <c r="B5" s="13" t="s">
        <v>98</v>
      </c>
      <c r="C5" s="16" t="s">
        <v>99</v>
      </c>
      <c r="D5" s="16" t="s">
        <v>437</v>
      </c>
      <c r="E5" s="13" t="s">
        <v>438</v>
      </c>
      <c r="F5" s="85">
        <v>5.0</v>
      </c>
      <c r="G5" s="24">
        <f t="shared" si="1"/>
        <v>3000000</v>
      </c>
      <c r="H5" s="13">
        <f t="shared" si="2"/>
        <v>18</v>
      </c>
      <c r="I5" s="30">
        <f t="shared" si="3"/>
        <v>833333.3333</v>
      </c>
      <c r="J5" s="90" t="s">
        <v>435</v>
      </c>
      <c r="K5" s="13" t="s">
        <v>271</v>
      </c>
      <c r="L5" s="30">
        <f t="shared" si="4"/>
        <v>833333.3333</v>
      </c>
      <c r="M5" s="14">
        <f t="shared" si="5"/>
        <v>46237</v>
      </c>
      <c r="N5" s="6"/>
      <c r="O5" s="85" t="s">
        <v>439</v>
      </c>
      <c r="P5" s="16" t="s">
        <v>440</v>
      </c>
      <c r="Q5" s="14">
        <v>46244.0</v>
      </c>
      <c r="R5" s="30">
        <v>8000000.0</v>
      </c>
    </row>
    <row r="6" ht="15.0" customHeight="1">
      <c r="A6" s="13" t="s">
        <v>432</v>
      </c>
      <c r="B6" s="13" t="s">
        <v>103</v>
      </c>
      <c r="C6" s="16" t="s">
        <v>104</v>
      </c>
      <c r="D6" s="16" t="s">
        <v>441</v>
      </c>
      <c r="E6" s="13" t="s">
        <v>442</v>
      </c>
      <c r="F6" s="85">
        <v>3.0</v>
      </c>
      <c r="G6" s="24">
        <f t="shared" si="1"/>
        <v>3000000</v>
      </c>
      <c r="H6" s="13">
        <f t="shared" si="2"/>
        <v>18</v>
      </c>
      <c r="I6" s="30">
        <f t="shared" si="3"/>
        <v>500000</v>
      </c>
      <c r="J6" s="90" t="s">
        <v>435</v>
      </c>
      <c r="K6" s="13" t="s">
        <v>271</v>
      </c>
      <c r="L6" s="30">
        <f t="shared" si="4"/>
        <v>500000</v>
      </c>
      <c r="M6" s="14">
        <f t="shared" si="5"/>
        <v>46237</v>
      </c>
      <c r="N6" s="6"/>
      <c r="O6" s="85" t="s">
        <v>443</v>
      </c>
      <c r="P6" s="16" t="s">
        <v>444</v>
      </c>
      <c r="Q6" s="14">
        <v>46251.0</v>
      </c>
      <c r="R6" s="30">
        <v>5000000.0</v>
      </c>
    </row>
    <row r="7" ht="15.0" customHeight="1">
      <c r="A7" s="13" t="s">
        <v>439</v>
      </c>
      <c r="B7" s="13" t="s">
        <v>33</v>
      </c>
      <c r="C7" s="16" t="s">
        <v>34</v>
      </c>
      <c r="D7" s="16" t="s">
        <v>433</v>
      </c>
      <c r="E7" s="13" t="s">
        <v>434</v>
      </c>
      <c r="F7" s="85">
        <v>10.0</v>
      </c>
      <c r="G7" s="24">
        <f t="shared" si="1"/>
        <v>8000000</v>
      </c>
      <c r="H7" s="13">
        <f t="shared" si="2"/>
        <v>19</v>
      </c>
      <c r="I7" s="30">
        <f t="shared" si="3"/>
        <v>4210526.316</v>
      </c>
      <c r="J7" s="90" t="s">
        <v>435</v>
      </c>
      <c r="K7" s="13" t="s">
        <v>271</v>
      </c>
      <c r="L7" s="30">
        <f t="shared" si="4"/>
        <v>4210526.316</v>
      </c>
      <c r="M7" s="14">
        <f t="shared" si="5"/>
        <v>46244</v>
      </c>
      <c r="N7" s="6"/>
      <c r="O7" s="91" t="s">
        <v>445</v>
      </c>
      <c r="P7" s="92" t="s">
        <v>446</v>
      </c>
      <c r="Q7" s="93">
        <v>46258.0</v>
      </c>
      <c r="R7" s="94">
        <v>4000000.0</v>
      </c>
    </row>
    <row r="8" ht="15.0" customHeight="1">
      <c r="A8" s="13" t="s">
        <v>439</v>
      </c>
      <c r="B8" s="13" t="s">
        <v>108</v>
      </c>
      <c r="C8" s="16" t="s">
        <v>109</v>
      </c>
      <c r="D8" s="16" t="s">
        <v>437</v>
      </c>
      <c r="E8" s="13" t="s">
        <v>438</v>
      </c>
      <c r="F8" s="85">
        <v>5.0</v>
      </c>
      <c r="G8" s="24">
        <f t="shared" si="1"/>
        <v>8000000</v>
      </c>
      <c r="H8" s="13">
        <f t="shared" si="2"/>
        <v>19</v>
      </c>
      <c r="I8" s="30">
        <f t="shared" si="3"/>
        <v>2105263.158</v>
      </c>
      <c r="J8" s="90" t="s">
        <v>435</v>
      </c>
      <c r="K8" s="13" t="s">
        <v>271</v>
      </c>
      <c r="L8" s="30">
        <f t="shared" si="4"/>
        <v>2105263.158</v>
      </c>
      <c r="M8" s="14">
        <f t="shared" si="5"/>
        <v>46244</v>
      </c>
      <c r="N8" s="6"/>
      <c r="O8" s="87" t="s">
        <v>447</v>
      </c>
      <c r="P8" s="60" t="s">
        <v>448</v>
      </c>
      <c r="Q8" s="58">
        <v>46265.0</v>
      </c>
      <c r="R8" s="95">
        <v>5000000.0</v>
      </c>
    </row>
    <row r="9" ht="15.0" customHeight="1">
      <c r="A9" s="13" t="s">
        <v>439</v>
      </c>
      <c r="B9" s="13" t="s">
        <v>113</v>
      </c>
      <c r="C9" s="16" t="s">
        <v>114</v>
      </c>
      <c r="D9" s="16" t="s">
        <v>441</v>
      </c>
      <c r="E9" s="13" t="s">
        <v>442</v>
      </c>
      <c r="F9" s="85">
        <v>3.0</v>
      </c>
      <c r="G9" s="24">
        <f t="shared" si="1"/>
        <v>8000000</v>
      </c>
      <c r="H9" s="13">
        <f t="shared" si="2"/>
        <v>19</v>
      </c>
      <c r="I9" s="30">
        <f t="shared" si="3"/>
        <v>1263157.895</v>
      </c>
      <c r="J9" s="90" t="s">
        <v>435</v>
      </c>
      <c r="K9" s="13" t="s">
        <v>271</v>
      </c>
      <c r="L9" s="30">
        <f t="shared" si="4"/>
        <v>1263157.895</v>
      </c>
      <c r="M9" s="14">
        <f t="shared" si="5"/>
        <v>46244</v>
      </c>
      <c r="N9" s="6"/>
      <c r="O9" s="96" t="s">
        <v>142</v>
      </c>
      <c r="P9" s="97"/>
      <c r="Q9" s="98"/>
      <c r="R9" s="81">
        <f>SUM(R4:R8)</f>
        <v>25000000</v>
      </c>
    </row>
    <row r="10" ht="15.0" customHeight="1">
      <c r="A10" s="13" t="s">
        <v>439</v>
      </c>
      <c r="B10" s="13" t="s">
        <v>103</v>
      </c>
      <c r="C10" s="16" t="s">
        <v>104</v>
      </c>
      <c r="D10" s="16" t="s">
        <v>452</v>
      </c>
      <c r="E10" s="13" t="s">
        <v>453</v>
      </c>
      <c r="F10" s="85">
        <v>1.0</v>
      </c>
      <c r="G10" s="24">
        <f t="shared" si="1"/>
        <v>8000000</v>
      </c>
      <c r="H10" s="13">
        <f t="shared" si="2"/>
        <v>19</v>
      </c>
      <c r="I10" s="30">
        <f t="shared" si="3"/>
        <v>421052.6316</v>
      </c>
      <c r="J10" s="90" t="s">
        <v>435</v>
      </c>
      <c r="K10" s="13" t="s">
        <v>271</v>
      </c>
      <c r="L10" s="30">
        <f t="shared" si="4"/>
        <v>421052.6316</v>
      </c>
      <c r="M10" s="14">
        <f t="shared" si="5"/>
        <v>46244</v>
      </c>
      <c r="N10" s="6"/>
      <c r="O10" s="76"/>
      <c r="P10" s="77"/>
      <c r="Q10" s="76"/>
      <c r="R10" s="78"/>
    </row>
    <row r="11" ht="15.0" customHeight="1">
      <c r="A11" s="13" t="s">
        <v>443</v>
      </c>
      <c r="B11" s="13" t="s">
        <v>98</v>
      </c>
      <c r="C11" s="16" t="s">
        <v>99</v>
      </c>
      <c r="D11" s="16" t="s">
        <v>433</v>
      </c>
      <c r="E11" s="13" t="s">
        <v>438</v>
      </c>
      <c r="F11" s="85">
        <v>5.0</v>
      </c>
      <c r="G11" s="24">
        <f t="shared" si="1"/>
        <v>5000000</v>
      </c>
      <c r="H11" s="13">
        <f t="shared" si="2"/>
        <v>9</v>
      </c>
      <c r="I11" s="30">
        <f t="shared" si="3"/>
        <v>2777777.778</v>
      </c>
      <c r="J11" s="90" t="s">
        <v>435</v>
      </c>
      <c r="K11" s="13" t="s">
        <v>271</v>
      </c>
      <c r="L11" s="30">
        <f t="shared" si="4"/>
        <v>2777777.778</v>
      </c>
      <c r="M11" s="14">
        <f t="shared" si="5"/>
        <v>46251</v>
      </c>
      <c r="N11" s="6"/>
      <c r="O11" s="76"/>
      <c r="P11" s="77"/>
      <c r="Q11" s="76"/>
      <c r="R11" s="78"/>
    </row>
    <row r="12" ht="15.0" customHeight="1">
      <c r="A12" s="13" t="s">
        <v>443</v>
      </c>
      <c r="B12" s="13" t="s">
        <v>33</v>
      </c>
      <c r="C12" s="16" t="s">
        <v>34</v>
      </c>
      <c r="D12" s="16" t="s">
        <v>433</v>
      </c>
      <c r="E12" s="13" t="s">
        <v>442</v>
      </c>
      <c r="F12" s="85">
        <v>3.0</v>
      </c>
      <c r="G12" s="24">
        <f t="shared" si="1"/>
        <v>5000000</v>
      </c>
      <c r="H12" s="13">
        <f t="shared" si="2"/>
        <v>9</v>
      </c>
      <c r="I12" s="30">
        <f t="shared" si="3"/>
        <v>1666666.667</v>
      </c>
      <c r="J12" s="90" t="s">
        <v>435</v>
      </c>
      <c r="K12" s="13" t="s">
        <v>271</v>
      </c>
      <c r="L12" s="30">
        <f t="shared" si="4"/>
        <v>1666666.667</v>
      </c>
      <c r="M12" s="14">
        <f t="shared" si="5"/>
        <v>46251</v>
      </c>
      <c r="N12" s="6"/>
      <c r="O12" s="76"/>
      <c r="P12" s="77"/>
      <c r="Q12" s="76"/>
      <c r="R12" s="78"/>
    </row>
    <row r="13" ht="15.0" customHeight="1">
      <c r="A13" s="13" t="s">
        <v>443</v>
      </c>
      <c r="B13" s="13" t="s">
        <v>113</v>
      </c>
      <c r="C13" s="16" t="s">
        <v>114</v>
      </c>
      <c r="D13" s="16" t="s">
        <v>452</v>
      </c>
      <c r="E13" s="13" t="s">
        <v>453</v>
      </c>
      <c r="F13" s="85">
        <v>1.0</v>
      </c>
      <c r="G13" s="24">
        <f t="shared" si="1"/>
        <v>5000000</v>
      </c>
      <c r="H13" s="13">
        <f t="shared" si="2"/>
        <v>9</v>
      </c>
      <c r="I13" s="30">
        <f t="shared" si="3"/>
        <v>555555.5556</v>
      </c>
      <c r="J13" s="90" t="s">
        <v>435</v>
      </c>
      <c r="K13" s="13" t="s">
        <v>271</v>
      </c>
      <c r="L13" s="30">
        <f t="shared" si="4"/>
        <v>555555.5556</v>
      </c>
      <c r="M13" s="14">
        <f t="shared" si="5"/>
        <v>46251</v>
      </c>
      <c r="N13" s="6"/>
      <c r="O13" s="76"/>
      <c r="P13" s="77"/>
      <c r="Q13" s="76"/>
      <c r="R13" s="78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</row>
  </sheetData>
  <mergeCells count="3">
    <mergeCell ref="A1:M1"/>
    <mergeCell ref="O2:R2"/>
    <mergeCell ref="O9:Q9"/>
  </mergeCells>
  <dataValidations>
    <dataValidation type="list" allowBlank="1" sqref="E4:E103">
      <formula1>"Hạng A,Hạng B,Hạng C,Hạng D"</formula1>
    </dataValidation>
    <dataValidation type="list" allowBlank="1" sqref="K4:K103">
      <formula1>"Chờ duyệt,Đã duyệt"</formula1>
    </dataValidation>
  </dataValidations>
  <printOptions/>
  <pageMargins bottom="1.0" footer="0.0" header="0.0" left="0.75" right="0.75" top="1.0"/>
  <pageSetup paperSize="9" orientation="portrait"/>
  <drawing r:id="rId1"/>
</worksheet>
</file>