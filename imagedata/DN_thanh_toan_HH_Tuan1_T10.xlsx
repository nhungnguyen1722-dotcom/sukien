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NTT HH tuần 1 T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#,##0&quot; đ&quot;"/>
    <numFmt numFmtId="165" formatCode="#,##0\ [$đ-42A]"/>
    <numFmt numFmtId="166" formatCode="0.0%"/>
    <numFmt numFmtId="167" formatCode="dd/MM/yyyy"/>
    <numFmt numFmtId="168" formatCode="dd/mm/yyyy"/>
    <numFmt numFmtId="169" formatCode="#,##0.00\ [$đ-42A]"/>
    <numFmt numFmtId="170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64"/>
  <sheetViews>
    <sheetView workbookViewId="0"/>
  </sheetViews>
  <sheetData>
    <row r="1" xml:space="preserve">
      <c r="A1" t="str" xml:space="preserve">
        <v xml:space="preserve">CÔNG TY CỔ PHẦN TẬP ĐOÀN NGHIÊNG COMPLEX
ML 6-23 Vinhomes Greenbay, Đường Lương Thế Vinh, Đại Mỗ, Hà Nội</v>
      </c>
    </row>
    <row r="3">
      <c r="A3" t="str">
        <v xml:space="preserve">ĐỀ NGHỊ THANH TOÁN									</v>
      </c>
    </row>
    <row r="5">
      <c r="A5" t="str">
        <v>Phân bổ hoa hồng và thù lao tuần 1 tháng 10</v>
      </c>
    </row>
    <row r="6">
      <c r="A6" t="str">
        <v>Doanh số HĐ (100%)</v>
      </c>
      <c r="E6" t="str">
        <v>Tỷ lệ</v>
      </c>
      <c r="F6">
        <v>750000000</v>
      </c>
      <c r="G6" t="str">
        <v>Tổng chi quỹ</v>
      </c>
      <c r="H6" t="str">
        <v>Còn lại quỹ</v>
      </c>
    </row>
    <row r="7">
      <c r="A7" t="str">
        <v>Sale trực tiếp - Pro sale (Nguồn khách) (6%)</v>
      </c>
      <c r="E7">
        <v>0.06</v>
      </c>
      <c r="F7">
        <v>45000000</v>
      </c>
      <c r="G7">
        <v>45000000</v>
      </c>
      <c r="H7">
        <v>0</v>
      </c>
    </row>
    <row r="8">
      <c r="A8" t="str">
        <v>Tri ân kết nối sale trực tiếp (1%)</v>
      </c>
      <c r="E8">
        <v>0.01</v>
      </c>
      <c r="F8">
        <v>7500000</v>
      </c>
      <c r="G8">
        <v>7500000</v>
      </c>
      <c r="H8">
        <v>0</v>
      </c>
    </row>
    <row r="9">
      <c r="A9" t="str">
        <v>Tri ân hỗ trợ sale (0,5%)</v>
      </c>
      <c r="E9">
        <v>0.005</v>
      </c>
      <c r="F9">
        <v>3750000</v>
      </c>
      <c r="G9">
        <v>3750000</v>
      </c>
      <c r="H9">
        <v>0</v>
      </c>
    </row>
    <row r="10">
      <c r="A10" t="str">
        <v>Quỹ Sự kiện &amp; Chốt hợp đồng (0,5%)</v>
      </c>
      <c r="E10">
        <v>0.005</v>
      </c>
      <c r="F10">
        <v>3750000</v>
      </c>
      <c r="G10">
        <v>0</v>
      </c>
      <c r="H10">
        <v>3750000</v>
      </c>
    </row>
    <row r="11">
      <c r="A11" t="str">
        <v>Quỹ Chăm sóc khách hàng (0,2%)</v>
      </c>
      <c r="E11">
        <v>0.002</v>
      </c>
      <c r="F11">
        <v>1500000</v>
      </c>
      <c r="G11">
        <v>0</v>
      </c>
      <c r="H11">
        <v>1500000</v>
      </c>
    </row>
    <row r="12">
      <c r="A12" t="str">
        <v>Quỹ Đào tạo Chuyên môn &amp; Kỹ năng (0,3%)</v>
      </c>
      <c r="E12">
        <v>0.003</v>
      </c>
      <c r="F12">
        <v>2250000</v>
      </c>
      <c r="G12">
        <v>0</v>
      </c>
      <c r="H12">
        <v>2250000</v>
      </c>
    </row>
    <row r="13">
      <c r="A13" t="str">
        <v>Quỹ Thi đua &amp; Chương trình thúc đẩy (0,8%)</v>
      </c>
      <c r="E13">
        <v>0.008</v>
      </c>
      <c r="F13">
        <v>6000000</v>
      </c>
      <c r="G13">
        <v>0</v>
      </c>
      <c r="H13">
        <v>6000000</v>
      </c>
    </row>
    <row r="14">
      <c r="A14" t="str">
        <v>Chi phí Công tác phí (0,3%)</v>
      </c>
      <c r="E14">
        <v>0.003</v>
      </c>
      <c r="F14">
        <v>2250000</v>
      </c>
      <c r="G14">
        <v>0</v>
      </c>
      <c r="H14">
        <v>2250000</v>
      </c>
    </row>
    <row r="15">
      <c r="A15" t="str">
        <v>Leader team - giám đốc Kd (2,9%)-70%</v>
      </c>
      <c r="E15">
        <v>0.0203</v>
      </c>
      <c r="F15">
        <v>15224999.999999998</v>
      </c>
      <c r="G15">
        <v>15225000</v>
      </c>
      <c r="H15">
        <v>-1.862645149230957e-9</v>
      </c>
    </row>
    <row r="16">
      <c r="A16" t="str">
        <v>Leader team - giám đốc Kd (2,9%)-30%</v>
      </c>
      <c r="E16">
        <v>0.0087</v>
      </c>
      <c r="F16">
        <v>6525000</v>
      </c>
      <c r="G16">
        <v>0</v>
      </c>
      <c r="H16">
        <v>6525000</v>
      </c>
    </row>
    <row r="17">
      <c r="A17" t="str">
        <v>Quỹ Vận hành (2,2%)</v>
      </c>
      <c r="E17">
        <v>0.022</v>
      </c>
      <c r="F17">
        <v>16499999.999999998</v>
      </c>
      <c r="G17">
        <v>16500000</v>
      </c>
      <c r="H17">
        <v>-1.862645149230957e-9</v>
      </c>
    </row>
    <row r="18">
      <c r="A18" t="str">
        <v>Bộ phận hỗ trợ KT (0,1%)</v>
      </c>
      <c r="E18">
        <v>0.001</v>
      </c>
      <c r="F18">
        <v>750000</v>
      </c>
      <c r="G18">
        <v>0</v>
      </c>
      <c r="H18">
        <v>750000</v>
      </c>
    </row>
    <row r="19">
      <c r="A19" t="str">
        <v>Bộ phận hỗ trợ CN (0,2)</v>
      </c>
      <c r="E19">
        <v>0.002</v>
      </c>
      <c r="F19">
        <v>1500000</v>
      </c>
      <c r="G19">
        <v>1500000</v>
      </c>
      <c r="H19">
        <v>0</v>
      </c>
    </row>
    <row r="20">
      <c r="A20" t="str">
        <v>Tổng qũy</v>
      </c>
      <c r="F20">
        <v>112500000</v>
      </c>
      <c r="G20">
        <v>89475000</v>
      </c>
      <c r="H20">
        <v>23025000</v>
      </c>
    </row>
    <row r="22">
      <c r="A22" t="str">
        <v xml:space="preserve">            NGƯỜI LẬP                            PHÓ CHỦ TỊCH                                               TỔNG GIÁM  ĐỐC </v>
      </c>
    </row>
    <row r="27">
      <c r="A27" t="str">
        <v xml:space="preserve">            Vũ Thị Cúc                        Nguyễn Thị Thương Hiếu                                    Nguyễn Thị Hương Thảo          </v>
      </c>
    </row>
    <row r="29">
      <c r="B29">
        <v>46298</v>
      </c>
      <c r="C29">
        <v>46309</v>
      </c>
    </row>
    <row r="30">
      <c r="C30" t="str">
        <f t="array" ref="C30:S30">TRANSPOSE('Trang tính7'!B23:B39)</f>
        <v>0326894993</v>
      </c>
      <c r="D30" t="str">
        <v>0889225989</v>
      </c>
      <c r="E30" t="str">
        <v>000006</v>
      </c>
      <c r="F30" t="str">
        <v>000007</v>
      </c>
      <c r="G30" t="str">
        <v>0915095848</v>
      </c>
      <c r="H30" t="str">
        <v>0343781580</v>
      </c>
      <c r="I30" t="str">
        <v>0768635148</v>
      </c>
      <c r="J30" t="str">
        <v>0984065555</v>
      </c>
      <c r="K30" t="str">
        <v>0947876133</v>
      </c>
      <c r="L30" t="str">
        <v>0972008333</v>
      </c>
      <c r="M30" t="str">
        <v>0949492658</v>
      </c>
      <c r="N30" t="str">
        <v>096 2240952</v>
      </c>
      <c r="O30" t="str">
        <v>0984398568</v>
      </c>
      <c r="P30" t="str">
        <v>0384081272</v>
      </c>
      <c r="Q30" t="str">
        <v>0349791507</v>
      </c>
      <c r="R30" t="str">
        <v>0379863712</v>
      </c>
      <c r="S30" t="str">
        <v>0988677522</v>
      </c>
    </row>
    <row r="31" xml:space="preserve">
      <c r="A31" t="str">
        <v>STT</v>
      </c>
      <c r="B31" t="str">
        <v>Hợp đồng</v>
      </c>
      <c r="C31" t="str" xml:space="preserve">
        <f t="array" ref="C31:S31">TRANSPOSE('Trang tính7'!C23:C39)</f>
        <v xml:space="preserve">Nguyễn Hùng Vĩ 
STK: 31978686868
Techcombank</v>
      </c>
      <c r="D31" t="str" xml:space="preserve">
        <v xml:space="preserve">Vũ Thị Cúc
STK: 2589225989
Techcombank</v>
      </c>
      <c r="E31" t="str" xml:space="preserve">
        <v xml:space="preserve">Nguyễn Thị Hương Thảo
STK: 0965749223
Vpbank</v>
      </c>
      <c r="F31" t="str" xml:space="preserve">
        <v xml:space="preserve">Đinh Văn Bắc
STK: 19033903936017
Techcombank</v>
      </c>
      <c r="G31" t="str" xml:space="preserve">
        <v xml:space="preserve">Diệp Thị Huế 
STK: 22891177
ACB</v>
      </c>
      <c r="H31" t="str" xml:space="preserve">
        <v xml:space="preserve">Nguyễn Đăng An
STK: 183093983
VP Bank</v>
      </c>
      <c r="I31" t="str" xml:space="preserve">
        <v xml:space="preserve">Phạm Minh Tuấn
STK: 11004198385
Vietcombank</v>
      </c>
      <c r="J31" t="str" xml:space="preserve">
        <v xml:space="preserve">Vũ Hùng Vỹ
STK: 109613685568
Vietinbank</v>
      </c>
      <c r="K31" t="str" xml:space="preserve">
        <v xml:space="preserve">Phạm Thị Hương 
STK: 73677986868
TPbank</v>
      </c>
      <c r="L31" t="str" xml:space="preserve">
        <v xml:space="preserve">Chu Thị Lương
STK: 0368684468
MBbank</v>
      </c>
      <c r="M31" t="str" xml:space="preserve">
        <v xml:space="preserve">Đào Thị Hòa 
STK: 0915183868
MB</v>
      </c>
      <c r="N31" t="str" xml:space="preserve">
        <v xml:space="preserve">Trần Thị Hồng Vân
STK: 19025423650668
Techcombank</v>
      </c>
      <c r="O31" t="str" xml:space="preserve">
        <v xml:space="preserve">Nguyễn Đức Vĩnh 
STK: 0384081272
MB</v>
      </c>
      <c r="P31" t="str" xml:space="preserve">
        <v xml:space="preserve">Hoàng Thị Chích 
STK: 0384081272
MB</v>
      </c>
      <c r="Q31" t="str" xml:space="preserve">
        <v xml:space="preserve">Nguyễn Minh Châu 
STK: 8869085418
BIDV</v>
      </c>
      <c r="R31" t="str" xml:space="preserve">
        <v xml:space="preserve">Trần Thị Ban 
STK: 4110689671
BIDV</v>
      </c>
      <c r="S31" t="str" xml:space="preserve">
        <v xml:space="preserve">Quàng Thị Đoàn 
STK: 4110032363
BIDV</v>
      </c>
    </row>
    <row r="32" xml:space="preserve">
      <c r="A32">
        <f>row()-3</f>
        <v>29</v>
      </c>
      <c r="B32" t="str" xml:space="preserve">
        <f xml:space="preserve">IFERROR(__xludf.DUMMYFUNCTION("FILTER(
  ""Ngày "" &amp; TEXT('5. DS Hợp đồng'!D5:D100, ""dd/mm/yyyy"") &amp; CHAR(10) &amp; ""KH: ""&amp;
  '5. DS Hợp đồng'!E5:E100 &amp; CHAR(10) &amp; ""Giá trị: ""&amp;
  TEXT('5. DS Hợp đồng'!G5:G100, ""#,##0""),
  ('5. DS Hợp đồng'!D5:D100 &gt;= $B$29) * ('5. DS Hợp đồng'!D5:D1"&amp;"00 &lt;= $C$29)
)"),"Ngày 03/10/2026
KH: NGUYỄN THỊ THOA 
Giá trị: 10.000.000")</f>
        <v xml:space="preserve">Ngày 03/10/2026
KH: NGUYỄN THỊ THOA 
Giá trị: 10.000.000</v>
      </c>
      <c r="C32">
        <f>2700000+225000</f>
        <v>2925000</v>
      </c>
      <c r="D32">
        <f>450000+913500</f>
        <v>1363500</v>
      </c>
      <c r="E32">
        <f>540000</f>
        <v>540000</v>
      </c>
      <c r="F32">
        <v>225000</v>
      </c>
      <c r="G32">
        <v>225000</v>
      </c>
      <c r="I32">
        <v>90000</v>
      </c>
    </row>
    <row r="33" xml:space="preserve">
      <c r="A33">
        <f>row()-3</f>
        <v>30</v>
      </c>
      <c r="B33" t="str" xml:space="preserve">
        <f xml:space="preserve">IFERROR(__xludf.DUMMYFUNCTION("""COMPUTED_VALUE"""),"Ngày 03/10/2026
KH: LÊ THỊ THẢO 
Giá trị: 20.000.000")</f>
        <v xml:space="preserve">Ngày 03/10/2026
KH: LÊ THỊ THẢO 
Giá trị: 20.000.000</v>
      </c>
      <c r="D33">
        <f>1800000+150000+609000</f>
        <v>2559000</v>
      </c>
      <c r="E33">
        <v>360000</v>
      </c>
      <c r="F33">
        <v>150000</v>
      </c>
      <c r="G33">
        <v>150000</v>
      </c>
      <c r="I33">
        <v>60000</v>
      </c>
      <c r="M33">
        <f>300000</f>
        <v>300000</v>
      </c>
    </row>
    <row r="34" xml:space="preserve">
      <c r="A34">
        <f>row()-3</f>
        <v>31</v>
      </c>
      <c r="B34" t="str" xml:space="preserve">
        <f xml:space="preserve">IFERROR(__xludf.DUMMYFUNCTION("""COMPUTED_VALUE"""),"Ngày 03/10/2026
KH: LÊ THỊ MỸ 
Giá trị: 50.000.000")</f>
        <v xml:space="preserve">Ngày 03/10/2026
KH: LÊ THỊ MỸ 
Giá trị: 50.000.000</v>
      </c>
      <c r="D34">
        <v>203000</v>
      </c>
      <c r="E34">
        <v>240000</v>
      </c>
      <c r="F34">
        <v>100000</v>
      </c>
      <c r="G34">
        <v>100000</v>
      </c>
      <c r="H34">
        <f>1300000+40600</f>
        <v>1340600</v>
      </c>
      <c r="I34">
        <v>40000</v>
      </c>
      <c r="J34">
        <v>121800</v>
      </c>
      <c r="K34">
        <f>200000+40600</f>
        <v>240600</v>
      </c>
    </row>
    <row r="35" xml:space="preserve">
      <c r="A35">
        <f>row()-3</f>
        <v>32</v>
      </c>
      <c r="B35" t="str" xml:space="preserve">
        <f xml:space="preserve">IFERROR(__xludf.DUMMYFUNCTION("""COMPUTED_VALUE"""),"Ngày 04/10/2026
KH: TRẦN THỊ LAN HƯƠNG 
Giá trị: 10.000.000")</f>
        <v xml:space="preserve">Ngày 04/10/2026
KH: TRẦN THỊ LAN HƯƠNG 
Giá trị: 10.000.000</v>
      </c>
      <c r="D35">
        <v>5075000</v>
      </c>
      <c r="E35">
        <v>6000000</v>
      </c>
      <c r="F35">
        <v>2500000</v>
      </c>
      <c r="G35">
        <v>2500000</v>
      </c>
      <c r="H35">
        <v>1015000</v>
      </c>
      <c r="I35">
        <v>1000000</v>
      </c>
      <c r="J35">
        <v>3045000</v>
      </c>
      <c r="K35">
        <v>1015000</v>
      </c>
      <c r="L35">
        <f>2500000</f>
        <v>2500000</v>
      </c>
      <c r="N35">
        <v>5000000</v>
      </c>
      <c r="O35">
        <f>30000000</f>
        <v>30000000</v>
      </c>
    </row>
    <row r="36" xml:space="preserve">
      <c r="B36" t="str" xml:space="preserve">
        <f xml:space="preserve">IFERROR(__xludf.DUMMYFUNCTION("""COMPUTED_VALUE"""),"Ngày 04/10/2026
KH: PHẠM THỊ THANH PHƯƠNG 
Giá trị: 10.000.000")</f>
        <v xml:space="preserve">Ngày 04/10/2026
KH: PHẠM THỊ THANH PHƯƠNG 
Giá trị: 10.000.000</v>
      </c>
    </row>
    <row r="37" xml:space="preserve">
      <c r="B37" t="str" xml:space="preserve">
        <f xml:space="preserve">IFERROR(__xludf.DUMMYFUNCTION("""COMPUTED_VALUE"""),"Ngày 04/10/2026
KH: QUÀNG THỊ ĐOÀN 
Giá trị: 10.000.000")</f>
        <v xml:space="preserve">Ngày 04/10/2026
KH: QUÀNG THỊ ĐOÀN 
Giá trị: 10.000.000</v>
      </c>
    </row>
    <row r="38" xml:space="preserve">
      <c r="B38" t="str" xml:space="preserve">
        <f xml:space="preserve">IFERROR(__xludf.DUMMYFUNCTION("""COMPUTED_VALUE"""),"Ngày 04/10/2026
KH: NGUYỄN THỊ MINH 
Giá trị: 10.000.000")</f>
        <v xml:space="preserve">Ngày 04/10/2026
KH: NGUYỄN THỊ MINH 
Giá trị: 10.000.000</v>
      </c>
    </row>
    <row r="39" xml:space="preserve">
      <c r="B39" t="str" xml:space="preserve">
        <f xml:space="preserve">IFERROR(__xludf.DUMMYFUNCTION("""COMPUTED_VALUE"""),"Ngày 05/10/2026
KH: NGUYỄN VĂN DẬU
Giá trị: 100.000.000")</f>
        <v xml:space="preserve">Ngày 05/10/2026
KH: NGUYỄN VĂN DẬU
Giá trị: 100.000.000</v>
      </c>
    </row>
    <row r="40" xml:space="preserve">
      <c r="B40" t="str" xml:space="preserve">
        <f xml:space="preserve">IFERROR(__xludf.DUMMYFUNCTION("""COMPUTED_VALUE"""),"Ngày 05/10/2026
KH: VŨ HÙNG VỸ 
Giá trị: 430.000.000")</f>
        <v xml:space="preserve">Ngày 05/10/2026
KH: VŨ HÙNG VỸ 
Giá trị: 430.000.000</v>
      </c>
    </row>
    <row r="41" xml:space="preserve">
      <c r="B41" t="str" xml:space="preserve">
        <f xml:space="preserve">IFERROR(__xludf.DUMMYFUNCTION("""COMPUTED_VALUE"""),"Ngày 07/10/2026
KH: HOÀNG THỊ CHÍCH 
Giá trị: 10.000.000")</f>
        <v xml:space="preserve">Ngày 07/10/2026
KH: HOÀNG THỊ CHÍCH 
Giá trị: 10.000.000</v>
      </c>
    </row>
    <row r="42" xml:space="preserve">
      <c r="B42" t="str" xml:space="preserve">
        <f xml:space="preserve">IFERROR(__xludf.DUMMYFUNCTION("""COMPUTED_VALUE"""),"Ngày 07/10/2026
KH: NGUYỄN HÙNG VĨ
Giá trị: 50.000.000")</f>
        <v xml:space="preserve">Ngày 07/10/2026
KH: NGUYỄN HÙNG VĨ
Giá trị: 50.000.000</v>
      </c>
    </row>
    <row r="43" xml:space="preserve">
      <c r="B43" t="str" xml:space="preserve">
        <f xml:space="preserve">IFERROR(__xludf.DUMMYFUNCTION("""COMPUTED_VALUE"""),"Ngày 08/10/2026
KH: NGUYỄN THỊ LOAN 
Giá trị: 40.000.000")</f>
        <v xml:space="preserve">Ngày 08/10/2026
KH: NGUYỄN THỊ LOAN 
Giá trị: 40.000.000</v>
      </c>
    </row>
    <row r="44">
      <c r="A44" t="str">
        <v>Tổng</v>
      </c>
      <c r="B44">
        <f>IFERROR(__xludf.DUMMYFUNCTION("SUM(ARRAYFORMULA(IFERROR(VALUE(SUBSTITUTE(REGEXEXTRACT(B32:B35, ""Giá trị:\s*([0-9\.]+)""), ""."", """")), 0)))"),9.0E7)</f>
        <v>90000000</v>
      </c>
      <c r="C44">
        <f>sum(C32:C35)</f>
        <v>2925000</v>
      </c>
      <c r="D44">
        <f>sum(D32:D35)</f>
        <v>9200500</v>
      </c>
      <c r="E44">
        <f>sum(E32:E35)</f>
        <v>7140000</v>
      </c>
      <c r="F44">
        <f>sum(F32:F35)</f>
        <v>2975000</v>
      </c>
      <c r="G44">
        <f>sum(G32:G35)</f>
        <v>2975000</v>
      </c>
      <c r="H44">
        <f>sum(H32:H35)</f>
        <v>2355600</v>
      </c>
      <c r="I44">
        <f>sum(I32:I35)</f>
        <v>1190000</v>
      </c>
      <c r="J44">
        <f>sum(J32:J35)</f>
        <v>3166800</v>
      </c>
      <c r="K44">
        <f>sum(K32:K35)</f>
        <v>1255600</v>
      </c>
      <c r="L44">
        <f>sum(L32:L35)</f>
        <v>2500000</v>
      </c>
      <c r="M44">
        <f>sum(M32:M35)</f>
        <v>300000</v>
      </c>
      <c r="N44">
        <f>sum(N32:N35)</f>
        <v>5000000</v>
      </c>
      <c r="O44">
        <f>sum(O32:O35)</f>
        <v>30000000</v>
      </c>
    </row>
    <row r="46">
      <c r="A46" t="str">
        <v>NGƯỜI LẬP</v>
      </c>
      <c r="I46" t="str">
        <v>PHÓ CHỦ TỊCH</v>
      </c>
    </row>
    <row r="51">
      <c r="A51" t="str">
        <v>Vũ Thị Cúc</v>
      </c>
      <c r="I51" t="str">
        <v>Nguyễn Thị Thương Hiếu</v>
      </c>
    </row>
    <row r="53" xml:space="preserve">
      <c r="B53" t="str">
        <v>Họ tên/Hợp đồng</v>
      </c>
      <c r="C53" t="str" xml:space="preserve">
        <v xml:space="preserve">-  03/10/2026
NGUYỄN THỊ THOA 
10.000.000</v>
      </c>
      <c r="D53" t="str" xml:space="preserve">
        <v xml:space="preserve">-  04/10/2026
LÊ THỊ THẢO 
20.000.000</v>
      </c>
      <c r="E53" t="str" xml:space="preserve">
        <v xml:space="preserve">-  05/10/2026
LÊ THỊ MỸ 
50.000.000</v>
      </c>
      <c r="F53" t="str" xml:space="preserve">
        <v xml:space="preserve">-  06/10/2026
TRẦN THỊ LAN HƯƠNG 
10.000.000</v>
      </c>
      <c r="G53" t="str" xml:space="preserve">
        <v xml:space="preserve">-  07/10/2026
PHẠM THỊ THANH PHƯƠNG 
10.000.000</v>
      </c>
      <c r="H53" t="str" xml:space="preserve">
        <v xml:space="preserve">-  08/10/2026
QUÀNG THỊ ĐOÀN 
10.000.000</v>
      </c>
      <c r="I53" t="str" xml:space="preserve">
        <v xml:space="preserve">-  09/10/2026
NGUYỄN THỊ MINH 
10.000.000</v>
      </c>
      <c r="J53" t="str" xml:space="preserve">
        <v xml:space="preserve">-  10/10/2026
NGUYỄN VĂN DẬU
100.000.000</v>
      </c>
      <c r="K53" t="str" xml:space="preserve">
        <v xml:space="preserve">-  11/10/2026
VŨ HÙNG VỸ 
430.000.000</v>
      </c>
      <c r="L53" t="str" xml:space="preserve">
        <v xml:space="preserve">-  12/10/2026
HOÀNG THỊ CHÍCH 
10.000.000</v>
      </c>
      <c r="M53" t="str" xml:space="preserve">
        <v xml:space="preserve">-  13/10/2026
NGUYỄN HÙNG VĨ
50.000.000</v>
      </c>
      <c r="N53" t="str" xml:space="preserve">
        <v xml:space="preserve">-  14/10/2026
NGUYỄN THỊ LOAN 
40.000.000</v>
      </c>
      <c r="O53" t="str">
        <v>Tổng chi</v>
      </c>
    </row>
    <row r="54" xml:space="preserve">
      <c r="B54" t="str" xml:space="preserve">
        <v xml:space="preserve">Nguyễn Hùng Vĩ 
STK: 31978686868
Techcombank</v>
      </c>
      <c r="C54">
        <f>600000+203000</f>
        <v>803000</v>
      </c>
      <c r="D54">
        <f>1300000+406000</f>
        <v>1706000</v>
      </c>
      <c r="E54">
        <v>507500</v>
      </c>
      <c r="J54">
        <v>1015000</v>
      </c>
      <c r="K54">
        <v>4364500</v>
      </c>
      <c r="M54">
        <f>3250000+1015000</f>
        <v>4265000</v>
      </c>
      <c r="O54">
        <f>SUM(C54:N54)</f>
        <v>12661000</v>
      </c>
    </row>
    <row r="55" xml:space="preserve">
      <c r="B55" t="str" xml:space="preserve">
        <v xml:space="preserve">Vũ Thị Cúc
STK: 2589225989
Techcombank</v>
      </c>
      <c r="C55">
        <f>50000+120000</f>
        <v>170000</v>
      </c>
      <c r="D55">
        <v>240000</v>
      </c>
      <c r="E55">
        <v>600000</v>
      </c>
      <c r="F55">
        <f>120000+101500</f>
        <v>221500</v>
      </c>
      <c r="G55">
        <f>120000+101500</f>
        <v>221500</v>
      </c>
      <c r="H55">
        <f>120000+101500</f>
        <v>221500</v>
      </c>
      <c r="I55">
        <f>120000+101500</f>
        <v>221500</v>
      </c>
      <c r="J55">
        <v>1200000</v>
      </c>
      <c r="K55">
        <v>5160000</v>
      </c>
      <c r="L55">
        <f>120000+101500</f>
        <v>221500</v>
      </c>
      <c r="M55">
        <v>600000</v>
      </c>
      <c r="N55">
        <f>480000+406000</f>
        <v>886000</v>
      </c>
      <c r="O55">
        <f>SUM(C55:N55)</f>
        <v>9963500</v>
      </c>
    </row>
    <row r="56" xml:space="preserve">
      <c r="B56" t="str" xml:space="preserve">
        <v xml:space="preserve">Nguyễn Thị Hương Thảo
STK: 0965749223
Vpbank</v>
      </c>
      <c r="C56">
        <v>50000</v>
      </c>
      <c r="D56">
        <v>100000</v>
      </c>
      <c r="E56">
        <v>250000</v>
      </c>
      <c r="F56">
        <v>50000</v>
      </c>
      <c r="G56">
        <v>50000</v>
      </c>
      <c r="H56">
        <v>50000</v>
      </c>
      <c r="I56">
        <v>50000</v>
      </c>
      <c r="J56">
        <v>500000</v>
      </c>
      <c r="K56">
        <v>2150000</v>
      </c>
      <c r="L56">
        <v>50000</v>
      </c>
      <c r="M56">
        <v>250000</v>
      </c>
      <c r="N56">
        <v>200000</v>
      </c>
      <c r="O56">
        <f>SUM(C56:N56)</f>
        <v>3750000</v>
      </c>
    </row>
    <row r="57" xml:space="preserve">
      <c r="B57" t="str" xml:space="preserve">
        <v xml:space="preserve">Đinh Văn Bắc
STK: 19033903936017
Techcombank</v>
      </c>
      <c r="C57">
        <v>50000</v>
      </c>
      <c r="D57">
        <v>100000</v>
      </c>
      <c r="E57">
        <v>250000</v>
      </c>
      <c r="F57">
        <v>50000</v>
      </c>
      <c r="G57">
        <v>50000</v>
      </c>
      <c r="H57">
        <v>50000</v>
      </c>
      <c r="I57">
        <v>50000</v>
      </c>
      <c r="J57">
        <v>500000</v>
      </c>
      <c r="K57">
        <v>2150000</v>
      </c>
      <c r="L57">
        <v>50000</v>
      </c>
      <c r="M57">
        <v>250000</v>
      </c>
      <c r="N57">
        <v>200000</v>
      </c>
      <c r="O57">
        <f>SUM(C57:N57)</f>
        <v>3750000</v>
      </c>
    </row>
    <row r="58" xml:space="preserve">
      <c r="B58" t="str" xml:space="preserve">
        <v xml:space="preserve">Diệp Thị Huế 
STK: 22891177
ACB</v>
      </c>
      <c r="E58">
        <v>101500</v>
      </c>
      <c r="J58">
        <f>6500000+203000</f>
        <v>6703000</v>
      </c>
      <c r="K58">
        <v>872900</v>
      </c>
      <c r="M58">
        <v>0</v>
      </c>
      <c r="N58">
        <v>0</v>
      </c>
      <c r="O58">
        <f>SUM(C58:N58)</f>
        <v>7677400</v>
      </c>
    </row>
    <row r="59" xml:space="preserve">
      <c r="B59" t="str" xml:space="preserve">
        <v xml:space="preserve">Nguyễn Đăng An
STK: 183093983
VP Bank</v>
      </c>
      <c r="C59">
        <v>20000</v>
      </c>
      <c r="D59">
        <v>40000</v>
      </c>
      <c r="E59">
        <v>100000</v>
      </c>
      <c r="F59">
        <v>20000</v>
      </c>
      <c r="G59">
        <v>20000</v>
      </c>
      <c r="H59">
        <v>20000</v>
      </c>
      <c r="I59">
        <v>20000</v>
      </c>
      <c r="J59">
        <v>200000</v>
      </c>
      <c r="K59">
        <v>860000</v>
      </c>
      <c r="L59">
        <v>20000</v>
      </c>
      <c r="M59">
        <v>100000</v>
      </c>
      <c r="N59">
        <v>80000</v>
      </c>
      <c r="O59">
        <f>SUM(C59:N59)</f>
        <v>1500000</v>
      </c>
    </row>
    <row r="60" xml:space="preserve">
      <c r="B60" t="str" xml:space="preserve">
        <v xml:space="preserve">Phạm Minh Tuấn
STK: 11004198385
Vietcombank</v>
      </c>
      <c r="D60">
        <v>304500</v>
      </c>
      <c r="J60">
        <v>609000</v>
      </c>
      <c r="K60">
        <f>4300000+2618700</f>
        <v>6918700</v>
      </c>
      <c r="O60">
        <f>SUM(C60:N60)</f>
        <v>7832200</v>
      </c>
    </row>
    <row r="61" xml:space="preserve">
      <c r="B61" t="str" xml:space="preserve">
        <v xml:space="preserve">Vũ Hùng Vỹ
STK: 109613685568
Vietinbank</v>
      </c>
      <c r="E61">
        <v>101500</v>
      </c>
      <c r="J61">
        <f>1000000+203000</f>
        <v>1203000</v>
      </c>
      <c r="K61">
        <f>25800000+2150000+872900</f>
        <v>28822900</v>
      </c>
      <c r="O61">
        <f>SUM(C61:N61)</f>
        <v>30127400</v>
      </c>
    </row>
    <row r="62" xml:space="preserve">
      <c r="B62" t="str" xml:space="preserve">
        <v xml:space="preserve">Phạm Thị Hương 
STK: 73677986868
TPbank</v>
      </c>
      <c r="E62">
        <v>250000</v>
      </c>
      <c r="O62">
        <f>SUM(C62:N62)</f>
        <v>250000</v>
      </c>
    </row>
    <row r="63" xml:space="preserve">
      <c r="B63" t="str" xml:space="preserve">
        <v xml:space="preserve">Chu Thị Lương
STK: 0368684468
MBbank</v>
      </c>
      <c r="C63">
        <v>100000</v>
      </c>
      <c r="D63">
        <v>200000</v>
      </c>
      <c r="M63">
        <v>500000</v>
      </c>
      <c r="O63">
        <f>SUM(C63:N63)</f>
        <v>800000</v>
      </c>
    </row>
    <row r="64" xml:space="preserve">
      <c r="B64" t="str" xml:space="preserve">
        <v xml:space="preserve">Đào Thị Hòa 
STK: 0915183868
MB</v>
      </c>
      <c r="E64">
        <v>500000</v>
      </c>
      <c r="O64">
        <f>SUM(C64:N64)</f>
        <v>500000</v>
      </c>
    </row>
    <row r="65" xml:space="preserve">
      <c r="B65" t="str" xml:space="preserve">
        <v xml:space="preserve">Trần Thị Hồng Vân
STK: 19025423650668
Techcombank</v>
      </c>
      <c r="E65">
        <v>3000000</v>
      </c>
      <c r="O65">
        <f>SUM(C65:N65)</f>
        <v>3000000</v>
      </c>
    </row>
    <row r="66" xml:space="preserve">
      <c r="B66" t="str" xml:space="preserve">
        <v xml:space="preserve">Nguyễn Đức Vĩnh 
STK: 0384081272
MB</v>
      </c>
      <c r="F66">
        <v>60900</v>
      </c>
      <c r="G66">
        <v>60900</v>
      </c>
      <c r="H66">
        <v>60900</v>
      </c>
      <c r="I66">
        <v>60900</v>
      </c>
      <c r="L66">
        <f>100000+60900</f>
        <v>160900</v>
      </c>
      <c r="N66">
        <v>243600</v>
      </c>
      <c r="O66">
        <f>SUM(C66:N66)</f>
        <v>648100</v>
      </c>
    </row>
    <row r="67" xml:space="preserve">
      <c r="B67" t="str" xml:space="preserve">
        <v xml:space="preserve">Hoàng Thị Chích 
STK: 0384081272
MB</v>
      </c>
      <c r="F67">
        <f>50000+40600</f>
        <v>90600</v>
      </c>
      <c r="G67">
        <f>50000+40600</f>
        <v>90600</v>
      </c>
      <c r="H67">
        <f>50000+40600</f>
        <v>90600</v>
      </c>
      <c r="I67">
        <f>150000+40600</f>
        <v>190600</v>
      </c>
      <c r="L67">
        <f>650000+40600</f>
        <v>690600</v>
      </c>
      <c r="N67">
        <f>600000+162400+2400000</f>
        <v>3162400</v>
      </c>
      <c r="O67">
        <f>SUM(C67:N67)</f>
        <v>4315400</v>
      </c>
    </row>
    <row r="68" xml:space="preserve">
      <c r="B68" t="str" xml:space="preserve">
        <v xml:space="preserve">Nguyễn Minh Châu 
STK: 8869085418
BIDV</v>
      </c>
      <c r="I68">
        <v>600000</v>
      </c>
      <c r="O68">
        <f>SUM(C68:N68)</f>
        <v>600000</v>
      </c>
    </row>
    <row r="69" xml:space="preserve">
      <c r="B69" t="str" xml:space="preserve">
        <v xml:space="preserve">Trần Thị Ban 
STK: 4110689671
BIDV</v>
      </c>
      <c r="F69">
        <v>100000</v>
      </c>
      <c r="G69">
        <v>100000</v>
      </c>
      <c r="H69">
        <v>100000</v>
      </c>
      <c r="O69">
        <f>SUM(C69:N69)</f>
        <v>300000</v>
      </c>
    </row>
    <row r="70" xml:space="preserve">
      <c r="B70" t="str" xml:space="preserve">
        <v xml:space="preserve">Quàng Thị Đoàn 
STK: 4110032363
BIDV</v>
      </c>
      <c r="F70">
        <v>600000</v>
      </c>
      <c r="G70">
        <v>600000</v>
      </c>
      <c r="H70">
        <v>600000</v>
      </c>
      <c r="O70">
        <f>SUM(C70:N70)</f>
        <v>1800000</v>
      </c>
    </row>
    <row r="71" xml:space="preserve">
      <c r="B71" t="str" xml:space="preserve">
        <v xml:space="preserve">Tổng quỹ chưa chia 
(15%)</v>
      </c>
      <c r="C71">
        <f>IFERROR(__xludf.DUMMYFUNCTION("VALUE(SUBSTITUTE(REGEXEXTRACT(C53, ""([0-9\.]+)\s*$""), ""."", """")) * 15%"),1500000.0)</f>
        <v>1500000</v>
      </c>
      <c r="D71">
        <f>IFERROR(__xludf.DUMMYFUNCTION("VALUE(SUBSTITUTE(REGEXEXTRACT(D53, ""([0-9\.]+)\s*$""), ""."", """")) * 15%"),3000000.0)</f>
        <v>3000000</v>
      </c>
      <c r="E71">
        <f>IFERROR(__xludf.DUMMYFUNCTION("VALUE(SUBSTITUTE(REGEXEXTRACT(E53, ""([0-9\.]+)\s*$""), ""."", """")) * 15%"),7500000.0)</f>
        <v>7500000</v>
      </c>
      <c r="F71">
        <f>IFERROR(__xludf.DUMMYFUNCTION("VALUE(SUBSTITUTE(REGEXEXTRACT(F53, ""([0-9\.]+)\s*$""), ""."", """")) * 15%"),1500000.0)</f>
        <v>1500000</v>
      </c>
      <c r="G71">
        <f>IFERROR(__xludf.DUMMYFUNCTION("VALUE(SUBSTITUTE(REGEXEXTRACT(G53, ""([0-9\.]+)\s*$""), ""."", """")) * 15%"),1500000.0)</f>
        <v>1500000</v>
      </c>
      <c r="H71">
        <f>IFERROR(__xludf.DUMMYFUNCTION("VALUE(SUBSTITUTE(REGEXEXTRACT(H53, ""([0-9\.]+)\s*$""), ""."", """")) * 15%"),1500000.0)</f>
        <v>1500000</v>
      </c>
      <c r="I71">
        <f>IFERROR(__xludf.DUMMYFUNCTION("VALUE(SUBSTITUTE(REGEXEXTRACT(I53, ""([0-9\.]+)\s*$""), ""."", """")) * 15%"),1500000.0)</f>
        <v>1500000</v>
      </c>
      <c r="J71">
        <f>IFERROR(__xludf.DUMMYFUNCTION("VALUE(SUBSTITUTE(REGEXEXTRACT(J53, ""([0-9\.]+)\s*$""), ""."", """")) * 15%"),1.5E7)</f>
        <v>15000000</v>
      </c>
      <c r="K71">
        <f>IFERROR(__xludf.DUMMYFUNCTION("VALUE(SUBSTITUTE(REGEXEXTRACT(K53, ""([0-9\.]+)\s*$""), ""."", """")) * 15%"),6.45E7)</f>
        <v>64500000</v>
      </c>
      <c r="L71">
        <f>IFERROR(__xludf.DUMMYFUNCTION("VALUE(SUBSTITUTE(REGEXEXTRACT(L53, ""([0-9\.]+)\s*$""), ""."", """")) * 15%"),1500000.0)</f>
        <v>1500000</v>
      </c>
      <c r="M71">
        <f>IFERROR(__xludf.DUMMYFUNCTION("VALUE(SUBSTITUTE(REGEXEXTRACT(M53, ""([0-9\.]+)\s*$""), ""."", """")) * 15%"),7500000.0)</f>
        <v>7500000</v>
      </c>
      <c r="N71">
        <f>IFERROR(__xludf.DUMMYFUNCTION("VALUE(SUBSTITUTE(REGEXEXTRACT(N53, ""([0-9\.]+)\s*$""), ""."", """")) * 15%"),6000000.0)</f>
        <v>6000000</v>
      </c>
      <c r="O71">
        <f>SUM(C71:N71)</f>
        <v>112500000</v>
      </c>
    </row>
    <row r="72">
      <c r="B72" t="str">
        <v>Tổng hoa hồng chia</v>
      </c>
      <c r="C72">
        <f>sum(C54:C70)</f>
        <v>1193000</v>
      </c>
      <c r="D72">
        <f>sum(D54:D70)</f>
        <v>2690500</v>
      </c>
      <c r="E72">
        <f>sum(E54:E70)</f>
        <v>5660500</v>
      </c>
      <c r="F72">
        <f>sum(F54:F70)</f>
        <v>1193000</v>
      </c>
      <c r="G72">
        <f>sum(G54:G70)</f>
        <v>1193000</v>
      </c>
      <c r="H72">
        <f>sum(H54:H70)</f>
        <v>1193000</v>
      </c>
      <c r="I72">
        <f>sum(I54:I70)</f>
        <v>1193000</v>
      </c>
      <c r="J72">
        <f>sum(J54:J70)</f>
        <v>11930000</v>
      </c>
      <c r="K72">
        <f>sum(K54:K70)</f>
        <v>51299000</v>
      </c>
      <c r="L72">
        <f>sum(L54:L70)</f>
        <v>1193000</v>
      </c>
      <c r="M72">
        <f>sum(M54:M70)</f>
        <v>5965000</v>
      </c>
      <c r="N72">
        <f>sum(N54:N70)</f>
        <v>4772000</v>
      </c>
      <c r="O72">
        <f>SUM(C72:N72)</f>
        <v>89475000</v>
      </c>
    </row>
    <row r="73">
      <c r="B73" t="str">
        <v>Tổng quỹ còn lại</v>
      </c>
      <c r="C73">
        <f>C71-C72</f>
        <v>307000</v>
      </c>
      <c r="D73">
        <f>D71-D72</f>
        <v>309500</v>
      </c>
      <c r="E73">
        <f>E71-E72</f>
        <v>1839500</v>
      </c>
      <c r="F73">
        <f>F71-F72</f>
        <v>307000</v>
      </c>
      <c r="G73">
        <f>G71-G72</f>
        <v>307000</v>
      </c>
      <c r="H73">
        <f>H71-H72</f>
        <v>307000</v>
      </c>
      <c r="I73">
        <f>I71-I72</f>
        <v>307000</v>
      </c>
      <c r="J73">
        <f>J71-J72</f>
        <v>3070000</v>
      </c>
      <c r="K73">
        <f>K71-K72</f>
        <v>13201000</v>
      </c>
      <c r="L73">
        <f>L71-L72</f>
        <v>307000</v>
      </c>
      <c r="M73">
        <f>M71-M72</f>
        <v>1535000</v>
      </c>
      <c r="N73">
        <f>N71-N72</f>
        <v>1228000</v>
      </c>
      <c r="O73">
        <f>SUM(C73:N73)</f>
        <v>23025000</v>
      </c>
    </row>
    <row r="75">
      <c r="C75" t="str">
        <v>NGƯỜI LẬP</v>
      </c>
      <c r="G75" t="str">
        <v>PHÓ CHỦ TỊCH</v>
      </c>
      <c r="L75" t="str">
        <v>TỔNG GIÁM ĐỐC</v>
      </c>
    </row>
    <row r="79">
      <c r="C79" t="str">
        <v>Vũ Thị Cúc</v>
      </c>
      <c r="G79" t="str">
        <v>Nguyễn Thị Thương Hiếu</v>
      </c>
      <c r="L79" t="str">
        <v xml:space="preserve">Nguyễn Thị Hương Thảo	</v>
      </c>
    </row>
  </sheetData>
  <mergeCells count="31">
    <mergeCell ref="A1:H2"/>
    <mergeCell ref="A3:H4"/>
    <mergeCell ref="A5:H5"/>
    <mergeCell ref="A6:D6"/>
    <mergeCell ref="A7:D7"/>
    <mergeCell ref="A8:D8"/>
    <mergeCell ref="A9:D9"/>
    <mergeCell ref="A17:D17"/>
    <mergeCell ref="A18:D18"/>
    <mergeCell ref="A19:D19"/>
    <mergeCell ref="A20:D20"/>
    <mergeCell ref="A22:H22"/>
    <mergeCell ref="A27:H27"/>
    <mergeCell ref="I46:J46"/>
    <mergeCell ref="A10:D10"/>
    <mergeCell ref="A11:D11"/>
    <mergeCell ref="A12:D12"/>
    <mergeCell ref="A13:D13"/>
    <mergeCell ref="A14:D14"/>
    <mergeCell ref="A15:D15"/>
    <mergeCell ref="A16:D16"/>
    <mergeCell ref="G79:H79"/>
    <mergeCell ref="J79:K79"/>
    <mergeCell ref="L79:M79"/>
    <mergeCell ref="A46:C46"/>
    <mergeCell ref="A51:C51"/>
    <mergeCell ref="I51:J51"/>
    <mergeCell ref="R74:S74"/>
    <mergeCell ref="G75:H75"/>
    <mergeCell ref="J75:K75"/>
    <mergeCell ref="L75:M75"/>
  </mergeCells>
  <pageMargins left="0.3423359820187162" right="0.16797481320421542" top="0.14977199213318831" bottom="0.12837599325701857" header="0" footer="0"/>
  <ignoredErrors>
    <ignoredError numberStoredAsText="1" sqref="A1:S1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DNTT HH tuần 1 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